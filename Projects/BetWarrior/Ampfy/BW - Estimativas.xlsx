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godoy/Documents/Claude/Projects/BetWarrior/Ampfy/"/>
    </mc:Choice>
  </mc:AlternateContent>
  <xr:revisionPtr revIDLastSave="0" documentId="13_ncr:1_{B376A9F0-2B05-1D42-B7E3-E4343F605B77}" xr6:coauthVersionLast="47" xr6:coauthVersionMax="47" xr10:uidLastSave="{00000000-0000-0000-0000-000000000000}"/>
  <bookViews>
    <workbookView xWindow="1440" yWindow="1240" windowWidth="28800" windowHeight="18000" xr2:uid="{908452A2-F5A7-4D49-88EF-7D832CFD79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I13" i="1"/>
  <c r="C13" i="1"/>
  <c r="E15" i="1"/>
  <c r="F15" i="1"/>
  <c r="G15" i="1"/>
  <c r="H15" i="1"/>
  <c r="I15" i="1"/>
  <c r="D15" i="1"/>
  <c r="E14" i="1"/>
  <c r="F14" i="1"/>
  <c r="G14" i="1"/>
  <c r="H14" i="1"/>
  <c r="I14" i="1"/>
  <c r="D14" i="1"/>
  <c r="J14" i="1"/>
  <c r="J13" i="1"/>
  <c r="I7" i="1"/>
  <c r="I9" i="1" s="1"/>
  <c r="H7" i="1"/>
  <c r="H9" i="1" s="1"/>
  <c r="G7" i="1"/>
  <c r="G9" i="1" s="1"/>
  <c r="F7" i="1"/>
  <c r="F9" i="1" s="1"/>
  <c r="E7" i="1"/>
  <c r="E9" i="1" s="1"/>
  <c r="D7" i="1"/>
  <c r="D9" i="1" s="1"/>
  <c r="J8" i="1"/>
  <c r="C7" i="1"/>
  <c r="C9" i="1" s="1"/>
  <c r="J6" i="1"/>
  <c r="E16" i="1" l="1"/>
  <c r="E17" i="1" s="1"/>
  <c r="F16" i="1"/>
  <c r="F17" i="1" s="1"/>
  <c r="G16" i="1"/>
  <c r="G17" i="1" s="1"/>
  <c r="H16" i="1"/>
  <c r="H17" i="1"/>
  <c r="I16" i="1"/>
  <c r="I17" i="1" s="1"/>
  <c r="D16" i="1"/>
  <c r="J7" i="1"/>
  <c r="J16" i="1" l="1"/>
  <c r="J17" i="1" s="1"/>
  <c r="D17" i="1"/>
  <c r="J4" i="1"/>
  <c r="J9" i="1"/>
  <c r="K6" i="1" l="1"/>
  <c r="K7" i="1"/>
</calcChain>
</file>

<file path=xl/sharedStrings.xml><?xml version="1.0" encoding="utf-8"?>
<sst xmlns="http://schemas.openxmlformats.org/spreadsheetml/2006/main" count="24" uniqueCount="13">
  <si>
    <t>Junho</t>
  </si>
  <si>
    <t>Julho</t>
  </si>
  <si>
    <t>Agosto</t>
  </si>
  <si>
    <t>Setembro</t>
  </si>
  <si>
    <t>Outubro</t>
  </si>
  <si>
    <t>Novembro</t>
  </si>
  <si>
    <t>Dezembro</t>
  </si>
  <si>
    <t>Fee Mídia</t>
  </si>
  <si>
    <t>Invesimento Projetado</t>
  </si>
  <si>
    <t>Total</t>
  </si>
  <si>
    <t>Leads Projetados</t>
  </si>
  <si>
    <t>total</t>
  </si>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</sst>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&quot;R$&quot;\ #,##0.00"/>
  </numFmts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right"/>
    </xf>
    <xf numFmtId="9" fontId="0" fillId="0" borderId="0" xfId="1" applyFont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8097-3F9A-854A-BBE5-CC3287220EF0}">
  <dimension ref="B4:K17"/>
  <sheetViews>
    <sheetView showGridLines="0" tabSelected="1" topLeftCell="A4" zoomScale="130" zoomScaleNormal="130" workbookViewId="0">
      <selection activeCell="E21" sqref="E21"/>
    </sheetView>
  </sheetViews>
  <sheetFormatPr baseColWidth="10" defaultRowHeight="16" x14ac:dyDescent="0.2"/>
  <cols>
    <col min="2" max="2" width="22.33203125" customWidth="1"/>
    <col min="3" max="9" width="14" bestFit="1" customWidth="1"/>
    <col min="10" max="10" width="15.5" bestFit="1" customWidth="1"/>
  </cols>
  <sheetData>
    <row r="4" spans="2:11" x14ac:dyDescent="0.2">
      <c r="J4" s="6">
        <f>SUM(J6:J7)</f>
        <v>3785000</v>
      </c>
    </row>
    <row r="5" spans="2:11" s="1" customFormat="1" x14ac:dyDescent="0.2"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  <c r="I5" s="4" t="s">
        <v>6</v>
      </c>
      <c r="J5" s="4" t="s">
        <v>9</v>
      </c>
    </row>
    <row r="6" spans="2:11" x14ac:dyDescent="0.2">
      <c r="B6" s="3" t="s">
        <v>7</v>
      </c>
      <c r="C6" s="2">
        <v>20000</v>
      </c>
      <c r="D6" s="2">
        <v>65000</v>
      </c>
      <c r="E6" s="2">
        <v>65000</v>
      </c>
      <c r="F6" s="2">
        <v>65000</v>
      </c>
      <c r="G6" s="2">
        <v>65000</v>
      </c>
      <c r="H6" s="2">
        <v>65000</v>
      </c>
      <c r="I6" s="2">
        <v>65000</v>
      </c>
      <c r="J6" s="2">
        <f>SUM(C6:I6)</f>
        <v>410000</v>
      </c>
      <c r="K6" s="9">
        <f>J6/$J$4</f>
        <v>0.1083223249669749</v>
      </c>
    </row>
    <row r="7" spans="2:11" x14ac:dyDescent="0.2">
      <c r="B7" s="3" t="s">
        <v>8</v>
      </c>
      <c r="C7" s="2">
        <f t="shared" ref="C7:I7" si="0">C8*150</f>
        <v>225000</v>
      </c>
      <c r="D7" s="2">
        <f t="shared" si="0"/>
        <v>375000</v>
      </c>
      <c r="E7" s="2">
        <f t="shared" si="0"/>
        <v>450000</v>
      </c>
      <c r="F7" s="2">
        <f t="shared" si="0"/>
        <v>525000</v>
      </c>
      <c r="G7" s="2">
        <f t="shared" si="0"/>
        <v>600000</v>
      </c>
      <c r="H7" s="2">
        <f t="shared" si="0"/>
        <v>600000</v>
      </c>
      <c r="I7" s="2">
        <f t="shared" si="0"/>
        <v>600000</v>
      </c>
      <c r="J7" s="2">
        <f>SUM(C7:I7)</f>
        <v>3375000</v>
      </c>
      <c r="K7" s="9">
        <f>J7/$J$4</f>
        <v>0.89167767503302509</v>
      </c>
    </row>
    <row r="8" spans="2:11" x14ac:dyDescent="0.2">
      <c r="B8" s="3" t="s">
        <v>10</v>
      </c>
      <c r="C8" s="5">
        <v>1500</v>
      </c>
      <c r="D8" s="5">
        <v>2500</v>
      </c>
      <c r="E8" s="5">
        <v>3000</v>
      </c>
      <c r="F8" s="5">
        <v>3500</v>
      </c>
      <c r="G8" s="5">
        <v>4000</v>
      </c>
      <c r="H8" s="5">
        <v>4000</v>
      </c>
      <c r="I8" s="5">
        <v>4000</v>
      </c>
      <c r="J8" s="5">
        <f>SUM(C8:I8)</f>
        <v>22500</v>
      </c>
    </row>
    <row r="9" spans="2:11" x14ac:dyDescent="0.2">
      <c r="C9" s="7">
        <f>SUM(C6:C7)/C8</f>
        <v>163.33333333333334</v>
      </c>
      <c r="D9" s="7">
        <f t="shared" ref="D9:J9" si="1">SUM(D6:D7)/D8</f>
        <v>176</v>
      </c>
      <c r="E9" s="7">
        <f t="shared" si="1"/>
        <v>171.66666666666666</v>
      </c>
      <c r="F9" s="7">
        <f t="shared" si="1"/>
        <v>168.57142857142858</v>
      </c>
      <c r="G9" s="7">
        <f t="shared" si="1"/>
        <v>166.25</v>
      </c>
      <c r="H9" s="7">
        <f t="shared" si="1"/>
        <v>166.25</v>
      </c>
      <c r="I9" s="7">
        <f t="shared" si="1"/>
        <v>166.25</v>
      </c>
      <c r="J9" s="7">
        <f t="shared" si="1"/>
        <v>168.22222222222223</v>
      </c>
    </row>
    <row r="12" spans="2:11" x14ac:dyDescent="0.2">
      <c r="B12" s="1"/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  <c r="I12" s="4" t="s">
        <v>6</v>
      </c>
      <c r="J12" s="4" t="s">
        <v>9</v>
      </c>
    </row>
    <row r="13" spans="2:11" x14ac:dyDescent="0.2">
      <c r="B13" s="3" t="s">
        <v>7</v>
      </c>
      <c r="C13" s="2">
        <f>$J$13/7</f>
        <v>18569.541422909981</v>
      </c>
      <c r="D13" s="2">
        <f t="shared" ref="D13:I13" si="2">$J$13/7</f>
        <v>18569.541422909981</v>
      </c>
      <c r="E13" s="2">
        <f t="shared" si="2"/>
        <v>18569.541422909981</v>
      </c>
      <c r="F13" s="2">
        <f t="shared" si="2"/>
        <v>18569.541422909981</v>
      </c>
      <c r="G13" s="2">
        <f t="shared" si="2"/>
        <v>18569.541422909981</v>
      </c>
      <c r="H13" s="2">
        <f t="shared" si="2"/>
        <v>18569.541422909981</v>
      </c>
      <c r="I13" s="2">
        <f t="shared" si="2"/>
        <v>18569.541422909981</v>
      </c>
      <c r="J13" s="2">
        <f>J15*K6</f>
        <v>129986.78996036988</v>
      </c>
    </row>
    <row r="14" spans="2:11" x14ac:dyDescent="0.2">
      <c r="B14" s="3" t="s">
        <v>8</v>
      </c>
      <c r="C14" s="2"/>
      <c r="D14" s="2">
        <f>+$J$14/6</f>
        <v>178335.535006605</v>
      </c>
      <c r="E14" s="2">
        <f t="shared" ref="E14:I14" si="3">+$J$14/6</f>
        <v>178335.535006605</v>
      </c>
      <c r="F14" s="2">
        <f t="shared" si="3"/>
        <v>178335.535006605</v>
      </c>
      <c r="G14" s="2">
        <f t="shared" si="3"/>
        <v>178335.535006605</v>
      </c>
      <c r="H14" s="2">
        <f t="shared" si="3"/>
        <v>178335.535006605</v>
      </c>
      <c r="I14" s="2">
        <f t="shared" si="3"/>
        <v>178335.535006605</v>
      </c>
      <c r="J14" s="2">
        <f>K7*J15</f>
        <v>1070013.2100396301</v>
      </c>
    </row>
    <row r="15" spans="2:11" x14ac:dyDescent="0.2">
      <c r="B15" s="8" t="s">
        <v>11</v>
      </c>
      <c r="C15" s="2"/>
      <c r="D15" s="2">
        <f>SUM(D13:D14)</f>
        <v>196905.07642951497</v>
      </c>
      <c r="E15" s="2">
        <f t="shared" ref="E15:I15" si="4">SUM(E13:E14)</f>
        <v>196905.07642951497</v>
      </c>
      <c r="F15" s="2">
        <f t="shared" si="4"/>
        <v>196905.07642951497</v>
      </c>
      <c r="G15" s="2">
        <f t="shared" si="4"/>
        <v>196905.07642951497</v>
      </c>
      <c r="H15" s="2">
        <f t="shared" si="4"/>
        <v>196905.07642951497</v>
      </c>
      <c r="I15" s="2">
        <f t="shared" si="4"/>
        <v>196905.07642951497</v>
      </c>
      <c r="J15" s="2">
        <v>1200000</v>
      </c>
    </row>
    <row r="16" spans="2:11" x14ac:dyDescent="0.2">
      <c r="B16" s="3" t="s">
        <v>10</v>
      </c>
      <c r="C16" s="5"/>
      <c r="D16" s="5">
        <f>D15/170</f>
        <v>1158.2651554677352</v>
      </c>
      <c r="E16" s="5">
        <f t="shared" ref="E16:I16" si="5">E15/170</f>
        <v>1158.2651554677352</v>
      </c>
      <c r="F16" s="5">
        <f t="shared" si="5"/>
        <v>1158.2651554677352</v>
      </c>
      <c r="G16" s="5">
        <f t="shared" si="5"/>
        <v>1158.2651554677352</v>
      </c>
      <c r="H16" s="5">
        <f t="shared" si="5"/>
        <v>1158.2651554677352</v>
      </c>
      <c r="I16" s="5">
        <f t="shared" si="5"/>
        <v>1158.2651554677352</v>
      </c>
      <c r="J16" s="5">
        <f>SUM(C16:I16)</f>
        <v>6949.5909328064108</v>
      </c>
    </row>
    <row r="17" spans="2:10" x14ac:dyDescent="0.2">
      <c r="B17" s="8" t="s">
        <v>12</v>
      </c>
      <c r="C17" s="5"/>
      <c r="D17" s="10">
        <f>D15/D16</f>
        <v>170</v>
      </c>
      <c r="E17" s="10">
        <f t="shared" ref="E17:J17" si="6">E15/E16</f>
        <v>170</v>
      </c>
      <c r="F17" s="10">
        <f t="shared" si="6"/>
        <v>170</v>
      </c>
      <c r="G17" s="10">
        <f t="shared" si="6"/>
        <v>170</v>
      </c>
      <c r="H17" s="10">
        <f t="shared" si="6"/>
        <v>170</v>
      </c>
      <c r="I17" s="10">
        <f t="shared" si="6"/>
        <v>170</v>
      </c>
      <c r="J17" s="10">
        <f t="shared" si="6"/>
        <v>172.67203373586355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Licenca 01</dc:creator>
  <cp:lastModifiedBy>Darwin Godoy</cp:lastModifiedBy>
  <dcterms:created xsi:type="dcterms:W3CDTF">2026-06-18T16:42:46Z</dcterms:created>
  <dcterms:modified xsi:type="dcterms:W3CDTF">2026-06-18T18:45:57Z</dcterms:modified>
</cp:coreProperties>
</file>