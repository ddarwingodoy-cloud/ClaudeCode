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hmarques/Desktop/"/>
    </mc:Choice>
  </mc:AlternateContent>
  <xr:revisionPtr revIDLastSave="0" documentId="13_ncr:1_{EC9876D9-FD1E-FC41-BB0F-2AF0B6FC0DFC}" xr6:coauthVersionLast="47" xr6:coauthVersionMax="47" xr10:uidLastSave="{00000000-0000-0000-0000-000000000000}"/>
  <bookViews>
    <workbookView xWindow="-38400" yWindow="600" windowWidth="38400" windowHeight="19780" xr2:uid="{BCA46D2F-CA65-7349-BB2B-0B6AE32CD7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C28" i="1"/>
  <c r="G29" i="1"/>
  <c r="F29" i="1"/>
  <c r="F50" i="1"/>
  <c r="F49" i="1" s="1"/>
  <c r="F37" i="1"/>
  <c r="G37" i="1" s="1"/>
  <c r="F36" i="1"/>
  <c r="G36" i="1" s="1"/>
  <c r="F35" i="1"/>
  <c r="G35" i="1" s="1"/>
  <c r="F14" i="1"/>
  <c r="G14" i="1" s="1"/>
  <c r="F13" i="1"/>
  <c r="C49" i="1"/>
  <c r="C45" i="1"/>
  <c r="C39" i="1"/>
  <c r="C30" i="1"/>
  <c r="C22" i="1"/>
  <c r="C15" i="1"/>
  <c r="C12" i="1"/>
  <c r="C5" i="1"/>
  <c r="G50" i="1"/>
  <c r="G49" i="1" s="1"/>
  <c r="G48" i="1"/>
  <c r="G47" i="1"/>
  <c r="G46" i="1"/>
  <c r="G44" i="1"/>
  <c r="G43" i="1"/>
  <c r="G42" i="1"/>
  <c r="G41" i="1"/>
  <c r="G40" i="1"/>
  <c r="G38" i="1"/>
  <c r="G28" i="1"/>
  <c r="G34" i="1"/>
  <c r="G33" i="1"/>
  <c r="G32" i="1"/>
  <c r="G31" i="1"/>
  <c r="G27" i="1"/>
  <c r="G26" i="1"/>
  <c r="G25" i="1"/>
  <c r="G24" i="1"/>
  <c r="G23" i="1"/>
  <c r="G20" i="1"/>
  <c r="G19" i="1"/>
  <c r="G18" i="1"/>
  <c r="G17" i="1"/>
  <c r="G16" i="1"/>
  <c r="G11" i="1"/>
  <c r="G7" i="1"/>
  <c r="D39" i="1"/>
  <c r="F28" i="1"/>
  <c r="D49" i="1"/>
  <c r="D45" i="1"/>
  <c r="D30" i="1"/>
  <c r="D15" i="1"/>
  <c r="D12" i="1"/>
  <c r="D5" i="1"/>
  <c r="F12" i="1" l="1"/>
  <c r="D22" i="1"/>
  <c r="G13" i="1"/>
  <c r="G12" i="1" s="1"/>
  <c r="C52" i="1"/>
  <c r="D52" i="1"/>
  <c r="F48" i="1" s="1"/>
  <c r="F42" i="1"/>
  <c r="F21" i="1"/>
  <c r="G21" i="1" s="1"/>
  <c r="G15" i="1" s="1"/>
  <c r="F20" i="1"/>
  <c r="G45" i="1"/>
  <c r="G39" i="1"/>
  <c r="G30" i="1"/>
  <c r="G22" i="1"/>
  <c r="F44" i="1" l="1"/>
  <c r="F41" i="1"/>
  <c r="F25" i="1"/>
  <c r="F11" i="1"/>
  <c r="F18" i="1"/>
  <c r="F34" i="1"/>
  <c r="F24" i="1"/>
  <c r="F19" i="1"/>
  <c r="F10" i="1"/>
  <c r="G10" i="1" s="1"/>
  <c r="F43" i="1"/>
  <c r="F16" i="1"/>
  <c r="F46" i="1"/>
  <c r="F45" i="1" s="1"/>
  <c r="F23" i="1"/>
  <c r="F27" i="1"/>
  <c r="F32" i="1"/>
  <c r="F8" i="1"/>
  <c r="G8" i="1" s="1"/>
  <c r="F47" i="1"/>
  <c r="F9" i="1"/>
  <c r="G9" i="1" s="1"/>
  <c r="F31" i="1"/>
  <c r="F6" i="1"/>
  <c r="F17" i="1"/>
  <c r="F33" i="1"/>
  <c r="F26" i="1"/>
  <c r="F7" i="1"/>
  <c r="F40" i="1"/>
  <c r="G6" i="1" l="1"/>
  <c r="G52" i="1" s="1"/>
  <c r="F5" i="1"/>
  <c r="F39" i="1"/>
  <c r="F22" i="1"/>
  <c r="F15" i="1"/>
  <c r="F30" i="1"/>
  <c r="G5" i="1" l="1"/>
  <c r="F52" i="1"/>
</calcChain>
</file>

<file path=xl/sharedStrings.xml><?xml version="1.0" encoding="utf-8"?>
<sst xmlns="http://schemas.openxmlformats.org/spreadsheetml/2006/main" count="84" uniqueCount="53">
  <si>
    <t>VEICULO</t>
  </si>
  <si>
    <t>PERFORMANCE</t>
  </si>
  <si>
    <t>GOOGLE</t>
  </si>
  <si>
    <t>TABOOLA</t>
  </si>
  <si>
    <t>META</t>
  </si>
  <si>
    <t>X</t>
  </si>
  <si>
    <t>TIKTOK</t>
  </si>
  <si>
    <t>KWAI</t>
  </si>
  <si>
    <t>AWARENESS</t>
  </si>
  <si>
    <t>FUTBOL SITES</t>
  </si>
  <si>
    <t>CAZETV</t>
  </si>
  <si>
    <t>DISPLAY</t>
  </si>
  <si>
    <t>UOL</t>
  </si>
  <si>
    <t>365 SCORES</t>
  </si>
  <si>
    <t>SOFASCORE</t>
  </si>
  <si>
    <t>SIPROCAL</t>
  </si>
  <si>
    <t>VERVE</t>
  </si>
  <si>
    <t>EXIBER</t>
  </si>
  <si>
    <t>PATROCÍNIOS</t>
  </si>
  <si>
    <t>PELEJA</t>
  </si>
  <si>
    <t>GR6</t>
  </si>
  <si>
    <t>MUSICALIZE</t>
  </si>
  <si>
    <t>NFA</t>
  </si>
  <si>
    <t>TRIBU</t>
  </si>
  <si>
    <t>DOMITILA</t>
  </si>
  <si>
    <t>PRODUÇÃO</t>
  </si>
  <si>
    <t>AFILIADOS</t>
  </si>
  <si>
    <t>INFLUENCIADOR</t>
  </si>
  <si>
    <t>CREATORS</t>
  </si>
  <si>
    <t>NOVAS CONTRATAÇÕES</t>
  </si>
  <si>
    <t>STREAMERS CASSINO</t>
  </si>
  <si>
    <t>STREAMERS COUNTER STRIKE</t>
  </si>
  <si>
    <t>DANILO LAVIERI</t>
  </si>
  <si>
    <t>FBI TRICOLOR</t>
  </si>
  <si>
    <t>SEO</t>
  </si>
  <si>
    <t>AGÊNCIAS</t>
  </si>
  <si>
    <t>EUPHORIA</t>
  </si>
  <si>
    <t>DIPAOLA</t>
  </si>
  <si>
    <t>PIPOL</t>
  </si>
  <si>
    <t>PR</t>
  </si>
  <si>
    <t>AMPFY</t>
  </si>
  <si>
    <t>FILME</t>
  </si>
  <si>
    <t>ATIVAÇÕES</t>
  </si>
  <si>
    <t>OUTROS</t>
  </si>
  <si>
    <t>X - BLUE STAMP</t>
  </si>
  <si>
    <t>TOTAL</t>
  </si>
  <si>
    <t>CPA</t>
  </si>
  <si>
    <t>%</t>
  </si>
  <si>
    <t>FTD</t>
  </si>
  <si>
    <t>FIXAS</t>
  </si>
  <si>
    <t>-</t>
  </si>
  <si>
    <t>AGOSTO 2026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</si>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</sst>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22"/>
      <color theme="1"/>
      <name val="Aptos Narrow"/>
      <scheme val="minor"/>
    </font>
    <font>
      <sz val="11"/>
      <color rgb="FFEA9999"/>
      <name val="Calibri"/>
      <family val="2"/>
    </font>
    <font>
      <sz val="11"/>
      <color theme="1"/>
      <name val="Calibri"/>
      <family val="2"/>
    </font>
    <font>
      <sz val="11"/>
      <color rgb="FFE0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2" fillId="3" borderId="2" xfId="0" applyFont="1" applyFill="1" applyBorder="1"/>
    <xf numFmtId="3" fontId="0" fillId="0" borderId="0" xfId="0" applyNumberFormat="1"/>
    <xf numFmtId="49" fontId="4" fillId="0" borderId="2" xfId="0" applyNumberFormat="1" applyFont="1" applyBorder="1" applyAlignment="1">
      <alignment horizontal="centerContinuous" vertical="center"/>
    </xf>
    <xf numFmtId="49" fontId="4" fillId="0" borderId="3" xfId="0" applyNumberFormat="1" applyFont="1" applyBorder="1" applyAlignment="1">
      <alignment horizontal="centerContinuous" vertical="center"/>
    </xf>
    <xf numFmtId="0" fontId="2" fillId="3" borderId="5" xfId="0" applyFont="1" applyFill="1" applyBorder="1"/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3" fillId="2" borderId="2" xfId="0" applyFont="1" applyFill="1" applyBorder="1"/>
    <xf numFmtId="0" fontId="0" fillId="0" borderId="10" xfId="0" applyBorder="1" applyAlignment="1">
      <alignment horizontal="left" indent="1"/>
    </xf>
    <xf numFmtId="3" fontId="4" fillId="0" borderId="3" xfId="0" applyNumberFormat="1" applyFont="1" applyBorder="1" applyAlignment="1">
      <alignment horizontal="centerContinuous" vertical="center"/>
    </xf>
    <xf numFmtId="4" fontId="2" fillId="3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9" fontId="2" fillId="3" borderId="3" xfId="1" applyFont="1" applyFill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9" fontId="0" fillId="0" borderId="7" xfId="1" applyFon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9" fontId="0" fillId="0" borderId="9" xfId="1" applyFont="1" applyBorder="1" applyAlignment="1">
      <alignment horizontal="center"/>
    </xf>
    <xf numFmtId="4" fontId="2" fillId="3" borderId="6" xfId="0" applyNumberFormat="1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Continuous" vertic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3" fontId="2" fillId="3" borderId="4" xfId="0" applyNumberFormat="1" applyFont="1" applyFill="1" applyBorder="1" applyAlignment="1">
      <alignment horizontal="center"/>
    </xf>
    <xf numFmtId="8" fontId="0" fillId="0" borderId="0" xfId="0" applyNumberFormat="1"/>
    <xf numFmtId="8" fontId="5" fillId="0" borderId="0" xfId="0" applyNumberFormat="1" applyFont="1"/>
    <xf numFmtId="8" fontId="6" fillId="0" borderId="0" xfId="0" applyNumberFormat="1" applyFont="1"/>
    <xf numFmtId="8" fontId="7" fillId="0" borderId="0" xfId="0" applyNumberFormat="1" applyFont="1"/>
    <xf numFmtId="0" fontId="6" fillId="0" borderId="0" xfId="0" applyFont="1"/>
    <xf numFmtId="2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E8D5-5FC6-4342-AC7F-DB838FD3891A}">
  <dimension ref="B2:L53"/>
  <sheetViews>
    <sheetView showGridLines="0" tabSelected="1" topLeftCell="A2" zoomScale="125" workbookViewId="0">
      <selection activeCell="B12" sqref="B12:G14"/>
    </sheetView>
  </sheetViews>
  <sheetFormatPr baseColWidth="10" defaultRowHeight="16" x14ac:dyDescent="0.2"/>
  <cols>
    <col min="2" max="2" width="26.6640625" bestFit="1" customWidth="1"/>
    <col min="3" max="5" width="10.83203125" style="1"/>
    <col min="6" max="6" width="10.83203125" style="2"/>
    <col min="7" max="7" width="10.83203125" style="46"/>
    <col min="8" max="8" width="13.1640625" bestFit="1" customWidth="1"/>
    <col min="9" max="9" width="12.6640625" bestFit="1" customWidth="1"/>
  </cols>
  <sheetData>
    <row r="2" spans="2:12" ht="29" x14ac:dyDescent="0.2">
      <c r="B2" s="8" t="s">
        <v>51</v>
      </c>
      <c r="C2" s="9"/>
      <c r="D2" s="9"/>
      <c r="E2" s="9"/>
      <c r="F2" s="17"/>
      <c r="G2" s="44"/>
      <c r="H2" s="47"/>
    </row>
    <row r="4" spans="2:12" x14ac:dyDescent="0.2">
      <c r="B4" s="3" t="s">
        <v>0</v>
      </c>
      <c r="C4" s="4" t="s">
        <v>46</v>
      </c>
      <c r="D4" s="4" t="s">
        <v>49</v>
      </c>
      <c r="E4" s="4" t="s">
        <v>47</v>
      </c>
      <c r="F4" s="5">
        <v>800000</v>
      </c>
      <c r="G4" s="45" t="s">
        <v>48</v>
      </c>
      <c r="H4" s="7"/>
    </row>
    <row r="5" spans="2:12" x14ac:dyDescent="0.2">
      <c r="B5" s="6" t="s">
        <v>1</v>
      </c>
      <c r="C5" s="18">
        <f>IFERROR(AVERAGE(C6:C11),"-")</f>
        <v>100</v>
      </c>
      <c r="D5" s="19">
        <f>SUM(D6:D11)</f>
        <v>0</v>
      </c>
      <c r="E5" s="20" t="s">
        <v>50</v>
      </c>
      <c r="F5" s="19">
        <f>SUM(F6:F11)</f>
        <v>199999.99999999997</v>
      </c>
      <c r="G5" s="48">
        <f>SUM(G6:G11)</f>
        <v>2000.0000000000002</v>
      </c>
      <c r="K5" s="7"/>
      <c r="L5" s="7"/>
    </row>
    <row r="6" spans="2:12" x14ac:dyDescent="0.2">
      <c r="B6" s="11" t="s">
        <v>2</v>
      </c>
      <c r="C6" s="21">
        <v>100</v>
      </c>
      <c r="D6" s="22"/>
      <c r="E6" s="23">
        <v>0.19593670323668411</v>
      </c>
      <c r="F6" s="22">
        <f>IF(D6&lt;&gt;0,D6,(($F$4-$D$52)*E6))</f>
        <v>89232.099102470442</v>
      </c>
      <c r="G6" s="22">
        <f>IF(C6&lt;&gt;"-",F6/C6,0)</f>
        <v>892.32099102470443</v>
      </c>
      <c r="H6" s="50"/>
      <c r="I6" s="7"/>
    </row>
    <row r="7" spans="2:12" x14ac:dyDescent="0.2">
      <c r="B7" s="12" t="s">
        <v>3</v>
      </c>
      <c r="C7" s="24">
        <v>100</v>
      </c>
      <c r="D7" s="25"/>
      <c r="E7" s="26">
        <v>3.5470852887752313E-2</v>
      </c>
      <c r="F7" s="25">
        <f t="shared" ref="F7:F11" si="0">IF(D7&lt;&gt;0,D7,(($F$4-$D$52)*E7))</f>
        <v>16153.883411551011</v>
      </c>
      <c r="G7" s="25">
        <f t="shared" ref="G7:G11" si="1">IF(C7&lt;&gt;"-",F7/C7,0)</f>
        <v>161.5388341155101</v>
      </c>
      <c r="H7" s="50"/>
      <c r="I7" s="7"/>
    </row>
    <row r="8" spans="2:12" x14ac:dyDescent="0.2">
      <c r="B8" s="12" t="s">
        <v>4</v>
      </c>
      <c r="C8" s="24">
        <v>100</v>
      </c>
      <c r="D8" s="25"/>
      <c r="E8" s="26">
        <v>0.16020366844469597</v>
      </c>
      <c r="F8" s="25">
        <f t="shared" si="0"/>
        <v>72958.81467377879</v>
      </c>
      <c r="G8" s="25">
        <f t="shared" si="1"/>
        <v>729.58814673778795</v>
      </c>
      <c r="H8" s="50"/>
      <c r="I8" s="7"/>
    </row>
    <row r="9" spans="2:12" x14ac:dyDescent="0.2">
      <c r="B9" s="12" t="s">
        <v>5</v>
      </c>
      <c r="C9" s="24">
        <v>100</v>
      </c>
      <c r="D9" s="25"/>
      <c r="E9" s="26">
        <v>9.51678641055358E-3</v>
      </c>
      <c r="F9" s="25">
        <f t="shared" si="0"/>
        <v>4334.0671456422142</v>
      </c>
      <c r="G9" s="25">
        <f t="shared" si="1"/>
        <v>43.340671456422143</v>
      </c>
      <c r="H9" s="50"/>
      <c r="I9" s="7"/>
    </row>
    <row r="10" spans="2:12" x14ac:dyDescent="0.2">
      <c r="B10" s="12" t="s">
        <v>6</v>
      </c>
      <c r="C10" s="24">
        <v>100</v>
      </c>
      <c r="D10" s="25"/>
      <c r="E10" s="26">
        <v>2.8468394358013051E-2</v>
      </c>
      <c r="F10" s="25">
        <f t="shared" si="0"/>
        <v>12964.873577432052</v>
      </c>
      <c r="G10" s="25">
        <f t="shared" si="1"/>
        <v>129.64873577432053</v>
      </c>
      <c r="H10" s="50"/>
      <c r="I10" s="7"/>
    </row>
    <row r="11" spans="2:12" x14ac:dyDescent="0.2">
      <c r="B11" s="13" t="s">
        <v>7</v>
      </c>
      <c r="C11" s="27">
        <v>100</v>
      </c>
      <c r="D11" s="28"/>
      <c r="E11" s="29">
        <v>9.5655222813711277E-3</v>
      </c>
      <c r="F11" s="28">
        <f t="shared" si="0"/>
        <v>4356.2620891254846</v>
      </c>
      <c r="G11" s="28">
        <f t="shared" si="1"/>
        <v>43.562620891254845</v>
      </c>
      <c r="H11" s="50"/>
      <c r="I11" s="7"/>
    </row>
    <row r="12" spans="2:12" x14ac:dyDescent="0.2">
      <c r="B12" s="10" t="s">
        <v>8</v>
      </c>
      <c r="C12" s="30">
        <f>IFERROR(AVERAGE(C13:C14),"-")</f>
        <v>750</v>
      </c>
      <c r="D12" s="31">
        <f>SUM(D13:D14)</f>
        <v>188687.02000000002</v>
      </c>
      <c r="E12" s="20" t="s">
        <v>50</v>
      </c>
      <c r="F12" s="31">
        <f>SUM(F13:F14)</f>
        <v>188687.02000000002</v>
      </c>
      <c r="G12" s="48">
        <f>SUM(G13:G14)</f>
        <v>268.11559199999999</v>
      </c>
      <c r="K12" s="7"/>
    </row>
    <row r="13" spans="2:12" x14ac:dyDescent="0.2">
      <c r="B13" s="11" t="s">
        <v>9</v>
      </c>
      <c r="C13" s="21">
        <v>500</v>
      </c>
      <c r="D13" s="22">
        <v>79428.572</v>
      </c>
      <c r="E13" s="23"/>
      <c r="F13" s="22">
        <f t="shared" ref="F13:F14" si="2">IF(D13&lt;&gt;0,D13,(($F$4-$D$52)*E13))</f>
        <v>79428.572</v>
      </c>
      <c r="G13" s="22">
        <f t="shared" ref="G13:G14" si="3">IF(C13&lt;&gt;"-",F13/C13,0)</f>
        <v>158.85714400000001</v>
      </c>
      <c r="H13" s="51"/>
      <c r="I13" s="7"/>
    </row>
    <row r="14" spans="2:12" x14ac:dyDescent="0.2">
      <c r="B14" s="13" t="s">
        <v>10</v>
      </c>
      <c r="C14" s="27">
        <v>1000</v>
      </c>
      <c r="D14" s="28">
        <v>109258.448</v>
      </c>
      <c r="E14" s="29"/>
      <c r="F14" s="28">
        <f t="shared" si="2"/>
        <v>109258.448</v>
      </c>
      <c r="G14" s="28">
        <f t="shared" si="3"/>
        <v>109.258448</v>
      </c>
      <c r="H14" s="51"/>
      <c r="I14" s="7"/>
      <c r="K14" s="7"/>
    </row>
    <row r="15" spans="2:12" x14ac:dyDescent="0.2">
      <c r="B15" s="10" t="s">
        <v>11</v>
      </c>
      <c r="C15" s="30">
        <f>IFERROR(AVERAGE(C16:C21),"-")</f>
        <v>200</v>
      </c>
      <c r="D15" s="31">
        <f>SUM(D16:D21)</f>
        <v>22169</v>
      </c>
      <c r="E15" s="20" t="s">
        <v>50</v>
      </c>
      <c r="F15" s="31">
        <f>SUM(F16:F21)</f>
        <v>50000.000000000007</v>
      </c>
      <c r="G15" s="48">
        <f>SUM(G16:G21)</f>
        <v>250</v>
      </c>
    </row>
    <row r="16" spans="2:12" x14ac:dyDescent="0.2">
      <c r="B16" s="11" t="s">
        <v>12</v>
      </c>
      <c r="C16" s="21">
        <v>200</v>
      </c>
      <c r="D16" s="22"/>
      <c r="E16" s="23">
        <v>1.7834124751850634E-2</v>
      </c>
      <c r="F16" s="22">
        <f t="shared" ref="F16:F21" si="4">IF(D16&lt;&gt;0,D16,(($F$4-$D$52)*E16))</f>
        <v>8121.8901868560815</v>
      </c>
      <c r="G16" s="22">
        <f t="shared" ref="G16:G21" si="5">IF(C16&lt;&gt;"-",F16/C16,0)</f>
        <v>40.60945093428041</v>
      </c>
      <c r="H16" s="52"/>
      <c r="I16" s="7"/>
    </row>
    <row r="17" spans="2:9" x14ac:dyDescent="0.2">
      <c r="B17" s="12" t="s">
        <v>13</v>
      </c>
      <c r="C17" s="24">
        <v>200</v>
      </c>
      <c r="D17" s="25"/>
      <c r="E17" s="26">
        <v>1.4425817761993694E-2</v>
      </c>
      <c r="F17" s="25">
        <f t="shared" si="4"/>
        <v>6569.7032710479743</v>
      </c>
      <c r="G17" s="25">
        <f t="shared" si="5"/>
        <v>32.848516355239873</v>
      </c>
      <c r="H17" s="52"/>
      <c r="I17" s="7"/>
    </row>
    <row r="18" spans="2:9" x14ac:dyDescent="0.2">
      <c r="B18" s="12" t="s">
        <v>14</v>
      </c>
      <c r="C18" s="24">
        <v>200</v>
      </c>
      <c r="D18" s="25"/>
      <c r="E18" s="26">
        <v>1.4425817761993694E-2</v>
      </c>
      <c r="F18" s="25">
        <f t="shared" si="4"/>
        <v>6569.7032710479743</v>
      </c>
      <c r="G18" s="25">
        <f t="shared" si="5"/>
        <v>32.848516355239873</v>
      </c>
      <c r="H18" s="52"/>
      <c r="I18" s="7"/>
    </row>
    <row r="19" spans="2:9" x14ac:dyDescent="0.2">
      <c r="B19" s="12" t="s">
        <v>15</v>
      </c>
      <c r="C19" s="24">
        <v>200</v>
      </c>
      <c r="D19" s="25"/>
      <c r="E19" s="26">
        <v>1.4425817761993694E-2</v>
      </c>
      <c r="F19" s="25">
        <f t="shared" si="4"/>
        <v>6569.7032710479743</v>
      </c>
      <c r="G19" s="25">
        <f t="shared" si="5"/>
        <v>32.848516355239873</v>
      </c>
      <c r="H19" s="52"/>
      <c r="I19" s="7"/>
    </row>
    <row r="20" spans="2:9" x14ac:dyDescent="0.2">
      <c r="B20" s="12" t="s">
        <v>16</v>
      </c>
      <c r="C20" s="24">
        <v>200</v>
      </c>
      <c r="D20" s="25">
        <v>14029</v>
      </c>
      <c r="E20" s="26"/>
      <c r="F20" s="25">
        <f t="shared" si="4"/>
        <v>14029</v>
      </c>
      <c r="G20" s="25">
        <f t="shared" si="5"/>
        <v>70.144999999999996</v>
      </c>
      <c r="H20" s="51"/>
      <c r="I20" s="7"/>
    </row>
    <row r="21" spans="2:9" x14ac:dyDescent="0.2">
      <c r="B21" s="13" t="s">
        <v>17</v>
      </c>
      <c r="C21" s="27">
        <v>200</v>
      </c>
      <c r="D21" s="28">
        <v>8140</v>
      </c>
      <c r="E21" s="29"/>
      <c r="F21" s="28">
        <f t="shared" si="4"/>
        <v>8140</v>
      </c>
      <c r="G21" s="28">
        <f t="shared" si="5"/>
        <v>40.700000000000003</v>
      </c>
      <c r="H21" s="52"/>
      <c r="I21" s="7"/>
    </row>
    <row r="22" spans="2:9" x14ac:dyDescent="0.2">
      <c r="B22" s="10" t="s">
        <v>18</v>
      </c>
      <c r="C22" s="30" t="str">
        <f>IFERROR(AVERAGE(C23:C27),"-")</f>
        <v>-</v>
      </c>
      <c r="D22" s="31">
        <f>SUM(D23:D27)</f>
        <v>0</v>
      </c>
      <c r="E22" s="20" t="s">
        <v>50</v>
      </c>
      <c r="F22" s="31">
        <f>SUM(F23:F27)</f>
        <v>0</v>
      </c>
      <c r="G22" s="48">
        <f>SUM(G23:G27)</f>
        <v>0</v>
      </c>
    </row>
    <row r="23" spans="2:9" x14ac:dyDescent="0.2">
      <c r="B23" s="11" t="s">
        <v>19</v>
      </c>
      <c r="C23" s="21" t="s">
        <v>50</v>
      </c>
      <c r="D23" s="22"/>
      <c r="E23" s="23"/>
      <c r="F23" s="22">
        <f t="shared" ref="F23:F27" si="6">IF(D23&lt;&gt;0,D23,(($F$4-$D$52)*E23))</f>
        <v>0</v>
      </c>
      <c r="G23" s="22">
        <f t="shared" ref="G23:G27" si="7">IF(C23&lt;&gt;"-",F23/C23,0)</f>
        <v>0</v>
      </c>
    </row>
    <row r="24" spans="2:9" x14ac:dyDescent="0.2">
      <c r="B24" s="12" t="s">
        <v>20</v>
      </c>
      <c r="C24" s="24" t="s">
        <v>50</v>
      </c>
      <c r="D24" s="25"/>
      <c r="E24" s="26"/>
      <c r="F24" s="25">
        <f t="shared" si="6"/>
        <v>0</v>
      </c>
      <c r="G24" s="25">
        <f t="shared" si="7"/>
        <v>0</v>
      </c>
    </row>
    <row r="25" spans="2:9" x14ac:dyDescent="0.2">
      <c r="B25" s="12" t="s">
        <v>21</v>
      </c>
      <c r="C25" s="24" t="s">
        <v>50</v>
      </c>
      <c r="D25" s="25"/>
      <c r="E25" s="26"/>
      <c r="F25" s="25">
        <f t="shared" si="6"/>
        <v>0</v>
      </c>
      <c r="G25" s="25">
        <f t="shared" si="7"/>
        <v>0</v>
      </c>
    </row>
    <row r="26" spans="2:9" x14ac:dyDescent="0.2">
      <c r="B26" s="12" t="s">
        <v>22</v>
      </c>
      <c r="C26" s="24" t="s">
        <v>50</v>
      </c>
      <c r="D26" s="25"/>
      <c r="E26" s="26"/>
      <c r="F26" s="25">
        <f t="shared" si="6"/>
        <v>0</v>
      </c>
      <c r="G26" s="25">
        <f t="shared" si="7"/>
        <v>0</v>
      </c>
    </row>
    <row r="27" spans="2:9" x14ac:dyDescent="0.2">
      <c r="B27" s="16" t="s">
        <v>23</v>
      </c>
      <c r="C27" s="32" t="s">
        <v>50</v>
      </c>
      <c r="D27" s="33"/>
      <c r="E27" s="34"/>
      <c r="F27" s="33">
        <f t="shared" si="6"/>
        <v>0</v>
      </c>
      <c r="G27" s="33">
        <f t="shared" si="7"/>
        <v>0</v>
      </c>
    </row>
    <row r="28" spans="2:9" x14ac:dyDescent="0.2">
      <c r="B28" s="6" t="s">
        <v>26</v>
      </c>
      <c r="C28" s="35">
        <f>200/5</f>
        <v>40</v>
      </c>
      <c r="D28" s="19">
        <v>100000</v>
      </c>
      <c r="E28" s="20" t="s">
        <v>50</v>
      </c>
      <c r="F28" s="19">
        <f>D28</f>
        <v>100000</v>
      </c>
      <c r="G28" s="48">
        <f>IF(C28&lt;&gt;"-",F28/C28,0)</f>
        <v>2500</v>
      </c>
      <c r="H28" s="49"/>
      <c r="I28" s="7"/>
    </row>
    <row r="29" spans="2:9" x14ac:dyDescent="0.2">
      <c r="B29" s="6" t="s">
        <v>52</v>
      </c>
      <c r="C29" s="35" t="s">
        <v>50</v>
      </c>
      <c r="D29" s="19">
        <v>30000</v>
      </c>
      <c r="E29" s="20" t="s">
        <v>50</v>
      </c>
      <c r="F29" s="19">
        <f>D29</f>
        <v>30000</v>
      </c>
      <c r="G29" s="48">
        <f>IF(C29&lt;&gt;"-",F29/C29,0)</f>
        <v>0</v>
      </c>
      <c r="H29" s="49"/>
      <c r="I29" s="7"/>
    </row>
    <row r="30" spans="2:9" x14ac:dyDescent="0.2">
      <c r="B30" s="6" t="s">
        <v>27</v>
      </c>
      <c r="C30" s="30">
        <f>IFERROR(AVERAGE(C31:C37),"-")</f>
        <v>250</v>
      </c>
      <c r="D30" s="19">
        <f>SUM(D31:D37)</f>
        <v>11820</v>
      </c>
      <c r="E30" s="20" t="s">
        <v>50</v>
      </c>
      <c r="F30" s="19">
        <f>SUM(F31:F37)</f>
        <v>111082</v>
      </c>
      <c r="G30" s="48">
        <f>SUM(G31:G37)</f>
        <v>444.32800000000003</v>
      </c>
    </row>
    <row r="31" spans="2:9" x14ac:dyDescent="0.2">
      <c r="B31" s="11" t="s">
        <v>28</v>
      </c>
      <c r="C31" s="21" t="s">
        <v>50</v>
      </c>
      <c r="D31" s="22"/>
      <c r="E31" s="23"/>
      <c r="F31" s="22">
        <f t="shared" ref="F31:F37" si="8">IF(D31&lt;&gt;0,D31,(($F$4-$D$52)*E31))</f>
        <v>0</v>
      </c>
      <c r="G31" s="22">
        <f t="shared" ref="G31:G37" si="9">IF(C31&lt;&gt;"-",F31/C31,0)</f>
        <v>0</v>
      </c>
      <c r="H31" s="53"/>
    </row>
    <row r="32" spans="2:9" x14ac:dyDescent="0.2">
      <c r="B32" s="12" t="s">
        <v>29</v>
      </c>
      <c r="C32" s="24">
        <v>250</v>
      </c>
      <c r="D32" s="25"/>
      <c r="E32" s="26">
        <v>0.2179604562966207</v>
      </c>
      <c r="F32" s="25">
        <f t="shared" si="8"/>
        <v>99262</v>
      </c>
      <c r="G32" s="25">
        <f t="shared" si="9"/>
        <v>397.048</v>
      </c>
      <c r="H32" s="52"/>
      <c r="I32" s="7"/>
    </row>
    <row r="33" spans="2:10" x14ac:dyDescent="0.2">
      <c r="B33" s="12" t="s">
        <v>30</v>
      </c>
      <c r="C33" s="24" t="s">
        <v>50</v>
      </c>
      <c r="D33" s="25"/>
      <c r="E33" s="26"/>
      <c r="F33" s="25">
        <f t="shared" si="8"/>
        <v>0</v>
      </c>
      <c r="G33" s="25">
        <f t="shared" si="9"/>
        <v>0</v>
      </c>
      <c r="H33" s="53"/>
    </row>
    <row r="34" spans="2:10" x14ac:dyDescent="0.2">
      <c r="B34" s="12" t="s">
        <v>31</v>
      </c>
      <c r="C34" s="24" t="s">
        <v>50</v>
      </c>
      <c r="D34" s="25"/>
      <c r="E34" s="26"/>
      <c r="F34" s="25">
        <f t="shared" si="8"/>
        <v>0</v>
      </c>
      <c r="G34" s="25">
        <f t="shared" si="9"/>
        <v>0</v>
      </c>
      <c r="H34" s="53"/>
    </row>
    <row r="35" spans="2:10" x14ac:dyDescent="0.2">
      <c r="B35" s="12" t="s">
        <v>32</v>
      </c>
      <c r="C35" s="24">
        <v>250</v>
      </c>
      <c r="D35" s="25">
        <v>5360</v>
      </c>
      <c r="E35" s="26"/>
      <c r="F35" s="25">
        <f t="shared" si="8"/>
        <v>5360</v>
      </c>
      <c r="G35" s="25">
        <f t="shared" si="9"/>
        <v>21.44</v>
      </c>
      <c r="H35" s="51"/>
      <c r="I35" s="7"/>
    </row>
    <row r="36" spans="2:10" x14ac:dyDescent="0.2">
      <c r="B36" s="12" t="s">
        <v>33</v>
      </c>
      <c r="C36" s="24">
        <v>250</v>
      </c>
      <c r="D36" s="25">
        <v>3260</v>
      </c>
      <c r="E36" s="26"/>
      <c r="F36" s="25">
        <f t="shared" si="8"/>
        <v>3260</v>
      </c>
      <c r="G36" s="25">
        <f t="shared" si="9"/>
        <v>13.04</v>
      </c>
      <c r="H36" s="51"/>
      <c r="I36" s="7"/>
    </row>
    <row r="37" spans="2:10" x14ac:dyDescent="0.2">
      <c r="B37" s="13" t="s">
        <v>24</v>
      </c>
      <c r="C37" s="27">
        <v>250</v>
      </c>
      <c r="D37" s="28">
        <v>3200</v>
      </c>
      <c r="E37" s="29"/>
      <c r="F37" s="28">
        <f t="shared" si="8"/>
        <v>3200</v>
      </c>
      <c r="G37" s="28">
        <f t="shared" si="9"/>
        <v>12.8</v>
      </c>
      <c r="H37" s="51"/>
      <c r="I37" s="7"/>
    </row>
    <row r="38" spans="2:10" x14ac:dyDescent="0.2">
      <c r="B38" s="10" t="s">
        <v>34</v>
      </c>
      <c r="C38" s="36" t="s">
        <v>50</v>
      </c>
      <c r="D38" s="31">
        <v>5679.9960000000001</v>
      </c>
      <c r="E38" s="20" t="s">
        <v>50</v>
      </c>
      <c r="F38" s="31">
        <v>5679.9960000000001</v>
      </c>
      <c r="G38" s="48">
        <f>IF(C38&lt;&gt;"-",F38/C38,0)</f>
        <v>0</v>
      </c>
      <c r="H38" s="49"/>
      <c r="I38" s="7"/>
      <c r="J38" s="7"/>
    </row>
    <row r="39" spans="2:10" x14ac:dyDescent="0.2">
      <c r="B39" s="6" t="s">
        <v>35</v>
      </c>
      <c r="C39" s="30" t="str">
        <f>IFERROR(AVERAGE(C40:C44),"-")</f>
        <v>-</v>
      </c>
      <c r="D39" s="19">
        <f>SUM(D40:D44)</f>
        <v>16000</v>
      </c>
      <c r="E39" s="20" t="s">
        <v>50</v>
      </c>
      <c r="F39" s="19">
        <f>SUM(F40:F44)</f>
        <v>54319.999999999978</v>
      </c>
      <c r="G39" s="48">
        <f>SUM(G40:G44)</f>
        <v>0</v>
      </c>
    </row>
    <row r="40" spans="2:10" x14ac:dyDescent="0.2">
      <c r="B40" s="11" t="s">
        <v>36</v>
      </c>
      <c r="C40" s="21" t="s">
        <v>50</v>
      </c>
      <c r="D40" s="22"/>
      <c r="E40" s="23"/>
      <c r="F40" s="22">
        <f t="shared" ref="F40:F44" si="10">IF(D40&lt;&gt;0,D40,(($F$4-$D$52)*E40))</f>
        <v>0</v>
      </c>
      <c r="G40" s="22">
        <f t="shared" ref="G40:G44" si="11">IF(C40&lt;&gt;"-",F40/C40,0)</f>
        <v>0</v>
      </c>
    </row>
    <row r="41" spans="2:10" x14ac:dyDescent="0.2">
      <c r="B41" s="12" t="s">
        <v>37</v>
      </c>
      <c r="C41" s="24" t="s">
        <v>50</v>
      </c>
      <c r="D41" s="25"/>
      <c r="E41" s="26"/>
      <c r="F41" s="25">
        <f t="shared" si="10"/>
        <v>0</v>
      </c>
      <c r="G41" s="25">
        <f t="shared" si="11"/>
        <v>0</v>
      </c>
    </row>
    <row r="42" spans="2:10" x14ac:dyDescent="0.2">
      <c r="B42" s="12" t="s">
        <v>38</v>
      </c>
      <c r="C42" s="24" t="s">
        <v>50</v>
      </c>
      <c r="D42" s="25">
        <v>16000</v>
      </c>
      <c r="E42" s="26"/>
      <c r="F42" s="25">
        <f t="shared" si="10"/>
        <v>16000</v>
      </c>
      <c r="G42" s="25">
        <f t="shared" si="11"/>
        <v>0</v>
      </c>
      <c r="H42" s="52"/>
      <c r="I42" s="7"/>
    </row>
    <row r="43" spans="2:10" x14ac:dyDescent="0.2">
      <c r="B43" s="12" t="s">
        <v>39</v>
      </c>
      <c r="C43" s="24" t="s">
        <v>50</v>
      </c>
      <c r="D43" s="25"/>
      <c r="E43" s="26"/>
      <c r="F43" s="25">
        <f t="shared" si="10"/>
        <v>0</v>
      </c>
      <c r="G43" s="25">
        <f t="shared" si="11"/>
        <v>0</v>
      </c>
    </row>
    <row r="44" spans="2:10" x14ac:dyDescent="0.2">
      <c r="B44" s="13" t="s">
        <v>40</v>
      </c>
      <c r="C44" s="27" t="s">
        <v>50</v>
      </c>
      <c r="D44" s="28"/>
      <c r="E44" s="29">
        <v>8.4143425331813793E-2</v>
      </c>
      <c r="F44" s="28">
        <f t="shared" si="10"/>
        <v>38319.999999999978</v>
      </c>
      <c r="G44" s="28">
        <f t="shared" si="11"/>
        <v>0</v>
      </c>
      <c r="H44" s="51"/>
      <c r="I44" s="7"/>
    </row>
    <row r="45" spans="2:10" x14ac:dyDescent="0.2">
      <c r="B45" s="10" t="s">
        <v>25</v>
      </c>
      <c r="C45" s="30" t="str">
        <f>IFERROR(AVERAGE(C46:C48),"-")</f>
        <v>-</v>
      </c>
      <c r="D45" s="31">
        <f>SUM(D46:D48)</f>
        <v>0</v>
      </c>
      <c r="E45" s="20" t="s">
        <v>50</v>
      </c>
      <c r="F45" s="31">
        <f>SUM(F46:F48)</f>
        <v>60000</v>
      </c>
      <c r="G45" s="48">
        <f>SUM(G46:G48)</f>
        <v>0</v>
      </c>
    </row>
    <row r="46" spans="2:10" x14ac:dyDescent="0.2">
      <c r="B46" s="11" t="s">
        <v>25</v>
      </c>
      <c r="C46" s="21" t="s">
        <v>50</v>
      </c>
      <c r="D46" s="22"/>
      <c r="E46" s="23"/>
      <c r="F46" s="22">
        <f t="shared" ref="F46:F48" si="12">IF(D46&lt;&gt;0,D46,(($F$4-$D$52)*E46))</f>
        <v>0</v>
      </c>
      <c r="G46" s="22">
        <f t="shared" ref="G46:G48" si="13">IF(C46&lt;&gt;"-",F46/C46,0)</f>
        <v>0</v>
      </c>
      <c r="H46" s="53"/>
      <c r="I46" s="7"/>
    </row>
    <row r="47" spans="2:10" x14ac:dyDescent="0.2">
      <c r="B47" s="12" t="s">
        <v>41</v>
      </c>
      <c r="C47" s="24" t="s">
        <v>50</v>
      </c>
      <c r="D47" s="25"/>
      <c r="E47" s="26">
        <v>6.5290572625430685E-2</v>
      </c>
      <c r="F47" s="25">
        <f t="shared" si="12"/>
        <v>29734.16797735884</v>
      </c>
      <c r="G47" s="25">
        <f t="shared" si="13"/>
        <v>0</v>
      </c>
      <c r="H47" s="51"/>
      <c r="I47" s="7"/>
    </row>
    <row r="48" spans="2:10" x14ac:dyDescent="0.2">
      <c r="B48" s="13" t="s">
        <v>42</v>
      </c>
      <c r="C48" s="27" t="s">
        <v>50</v>
      </c>
      <c r="D48" s="28"/>
      <c r="E48" s="29">
        <v>6.6458005660290365E-2</v>
      </c>
      <c r="F48" s="28">
        <f t="shared" si="12"/>
        <v>30265.83202264116</v>
      </c>
      <c r="G48" s="28">
        <f t="shared" si="13"/>
        <v>0</v>
      </c>
      <c r="H48" s="51"/>
      <c r="I48" s="7"/>
    </row>
    <row r="49" spans="2:9" x14ac:dyDescent="0.2">
      <c r="B49" s="10" t="s">
        <v>43</v>
      </c>
      <c r="C49" s="30" t="str">
        <f>C50</f>
        <v>-</v>
      </c>
      <c r="D49" s="31">
        <f>D50</f>
        <v>231.1</v>
      </c>
      <c r="E49" s="20" t="s">
        <v>50</v>
      </c>
      <c r="F49" s="31">
        <f>F50</f>
        <v>231.1</v>
      </c>
      <c r="G49" s="48">
        <f>SUM(G50)</f>
        <v>0</v>
      </c>
    </row>
    <row r="50" spans="2:9" x14ac:dyDescent="0.2">
      <c r="B50" s="14" t="s">
        <v>44</v>
      </c>
      <c r="C50" s="37" t="s">
        <v>50</v>
      </c>
      <c r="D50" s="38">
        <v>231.1</v>
      </c>
      <c r="E50" s="39"/>
      <c r="F50" s="38">
        <f>IF(D50&lt;&gt;0,D50,(($F$4-$D$52)*E50))</f>
        <v>231.1</v>
      </c>
      <c r="G50" s="38">
        <f>IF(C50&lt;&gt;"-",F50/C50,0)</f>
        <v>0</v>
      </c>
      <c r="H50" s="51"/>
      <c r="I50" s="7"/>
    </row>
    <row r="51" spans="2:9" x14ac:dyDescent="0.2">
      <c r="C51" s="40"/>
      <c r="D51" s="2"/>
      <c r="G51" s="2"/>
    </row>
    <row r="52" spans="2:9" x14ac:dyDescent="0.2">
      <c r="B52" s="15" t="s">
        <v>45</v>
      </c>
      <c r="C52" s="41">
        <f>IFERROR(AVERAGE(C5,C12,C15,C22,C28,C30),"-")</f>
        <v>268</v>
      </c>
      <c r="D52" s="42">
        <f>+D5+D12+D15+D22+D28+D30+D38+D39+D45+D49</f>
        <v>344587.11599999998</v>
      </c>
      <c r="E52" s="43" t="s">
        <v>50</v>
      </c>
      <c r="F52" s="42">
        <f>+F5+F12+F15+F22+F28+F30+F38+F39+F45+F49+F29</f>
        <v>800000.11600000004</v>
      </c>
      <c r="G52" s="42">
        <f>SUM(G6:G50)</f>
        <v>6424.8871840000002</v>
      </c>
      <c r="I52" s="54">
        <f>F52/G52</f>
        <v>124.51582309371177</v>
      </c>
    </row>
    <row r="53" spans="2:9" x14ac:dyDescent="0.2">
      <c r="I53" s="7"/>
    </row>
  </sheetData>
  <pageMargins left="0.511811024" right="0.511811024" top="0.78740157499999996" bottom="0.78740157499999996" header="0.31496062000000002" footer="0.31496062000000002"/>
  <ignoredErrors>
    <ignoredError sqref="E31 G30:G49 E13:E14 E20:E21 E23:E27 E40:E43 E46 F12:F15 F22 F45:F49 E33:E37 G12:G28" formula="1"/>
    <ignoredError sqref="D22 D12:D15 D30 F30 D16 D17 D18 D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Marques</dc:creator>
  <cp:lastModifiedBy>Joao Paulo Marques</cp:lastModifiedBy>
  <dcterms:created xsi:type="dcterms:W3CDTF">2026-06-03T15:27:57Z</dcterms:created>
  <dcterms:modified xsi:type="dcterms:W3CDTF">2026-06-10T18:32:34Z</dcterms:modified>
</cp:coreProperties>
</file>