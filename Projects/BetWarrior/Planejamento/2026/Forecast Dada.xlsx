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 - New (Cambio Margene" sheetId="1" r:id="rId5"/>
  </sheets>
  <definedNames/>
  <calcPr/>
</workbook>
</file>

<file path=xl/sharedStrings.xml><?xml version="1.0" encoding="utf-8"?>
<sst xmlns="http://schemas.openxmlformats.org/spreadsheetml/2006/main" count="152" uniqueCount="100">
  <si>
    <t>GRAND TOTAL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</si>
  <si>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</si>
  <si>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</si>
  <si>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</si>
  <si>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</si>
  <si>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</si>
  <si>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</si>
  <si>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</si>
  <si>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</si>
  <si>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</si>
  <si>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</si>
  <si>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Jan</t>
  </si>
  <si>
    <t>Fev</t>
  </si>
  <si>
    <t>Mar</t>
  </si>
  <si>
    <t>AQUISIÇÃO</t>
  </si>
  <si>
    <t>Investimento (USD)</t>
  </si>
  <si>
    <t>CPA Blended (USD)</t>
  </si>
  <si>
    <t>CPA Δ %/mês</t>
  </si>
  <si>
    <t>-%</t>
  </si>
  <si>
    <t>FTDs</t>
  </si>
  <si>
    <t>FTDs Afiliados</t>
  </si>
  <si>
    <t>Afiliados Δ %/mês</t>
  </si>
  <si>
    <t>CRM</t>
  </si>
  <si>
    <t>Ativação %</t>
  </si>
  <si>
    <t>Ativação Δ %/mês</t>
  </si>
  <si>
    <t>Retenção New %</t>
  </si>
  <si>
    <t>Ret New Δ %/mês</t>
  </si>
  <si>
    <t>Retenção Old %</t>
  </si>
  <si>
    <t>Ret Old Δ %/mês</t>
  </si>
  <si>
    <t>Reativação %</t>
  </si>
  <si>
    <t>Reativação Δ %/mês</t>
  </si>
  <si>
    <t>Inativos D-31 / D-90</t>
  </si>
  <si>
    <t>Uniques</t>
  </si>
  <si>
    <t>VIP</t>
  </si>
  <si>
    <t>VIP Δ %/mês</t>
  </si>
  <si>
    <t>NON VIP</t>
  </si>
  <si>
    <t>% FTDs nos Uniques</t>
  </si>
  <si>
    <t>VIP increase MoM</t>
  </si>
  <si>
    <t>-</t>
  </si>
  <si>
    <t>% VIP vs Uniques</t>
  </si>
  <si>
    <t>%VIP vs GrossBets</t>
  </si>
  <si>
    <t>REVENUE</t>
  </si>
  <si>
    <t>GB/Uniques</t>
  </si>
  <si>
    <t>GB/Unique Δ %/mês</t>
  </si>
  <si>
    <t>GB/Uniques VIP</t>
  </si>
  <si>
    <t>GB/Unique VIP Δ %/mês</t>
  </si>
  <si>
    <t>Gross Bets</t>
  </si>
  <si>
    <t>Mix Casino %</t>
  </si>
  <si>
    <t>Mix Cassino Δ %/mês</t>
  </si>
  <si>
    <t>Mix Sports %</t>
  </si>
  <si>
    <t>Margem Sports %</t>
  </si>
  <si>
    <t>Margem Casino %</t>
  </si>
  <si>
    <t>GGR R$</t>
  </si>
  <si>
    <t>GGR USD</t>
  </si>
  <si>
    <t>Bonus %</t>
  </si>
  <si>
    <t>NGR R$</t>
  </si>
  <si>
    <t>NGR USD</t>
  </si>
  <si>
    <t>ARPU R$</t>
  </si>
  <si>
    <t>ARPU USD</t>
  </si>
  <si>
    <t>ARPU vs CPA</t>
  </si>
  <si>
    <t>EBTIDA</t>
  </si>
  <si>
    <t>Gross profit R$</t>
  </si>
  <si>
    <t>Gross profit promedio</t>
  </si>
  <si>
    <t>Gross profit USD</t>
  </si>
  <si>
    <t>HR estim USD</t>
  </si>
  <si>
    <t>IT estim USD</t>
  </si>
  <si>
    <t>Marketing USD</t>
  </si>
  <si>
    <t>Otros gastos USD</t>
  </si>
  <si>
    <t>EBITDA USD</t>
  </si>
  <si>
    <t>Solvency MKT</t>
  </si>
  <si>
    <t>Business Structure USD</t>
  </si>
  <si>
    <t>Structure %</t>
  </si>
  <si>
    <t>EBITDA %</t>
  </si>
  <si>
    <t>VARIÁVEIS DE REFERÊNCIA</t>
  </si>
  <si>
    <t>UB Base (Mar/26)</t>
  </si>
  <si>
    <t>Dormentes Base</t>
  </si>
  <si>
    <t>Assumptions</t>
  </si>
  <si>
    <t>Dormentes Δ %/mês</t>
  </si>
  <si>
    <t>- Drastic month-over-month CPA reduction, stabilizing in June 2027</t>
  </si>
  <si>
    <t>- Increase in user acquisition via affiliates in August 2026</t>
  </si>
  <si>
    <t>- Increase in VIP onboarding starting August 2026</t>
  </si>
  <si>
    <t>INICIATIVAS</t>
  </si>
  <si>
    <t>- Implementation of new onboarding in Q4 2026</t>
  </si>
  <si>
    <t>INICIATIVA</t>
  </si>
  <si>
    <t>RESPONSAVEL</t>
  </si>
  <si>
    <t>% INCREMENTO</t>
  </si>
  <si>
    <t>KPI IMPACTADO</t>
  </si>
  <si>
    <t>DATA IMPL.</t>
  </si>
  <si>
    <t>- Implementation of new automatic PIX in Q4 2026</t>
  </si>
  <si>
    <t>Novo Onboarding</t>
  </si>
  <si>
    <t/>
  </si>
  <si>
    <t>- Implementation of the Loyalty program by the end of 2027</t>
  </si>
  <si>
    <t>CPA</t>
  </si>
  <si>
    <t>- Increase in retention % starting May 2026</t>
  </si>
  <si>
    <t>Dados Bancarios via PIX</t>
  </si>
  <si>
    <t>- Increase in Sportsbook margin starting January 2028</t>
  </si>
  <si>
    <t>Estrategia VIP</t>
  </si>
  <si>
    <t>- Increase in VIP grossbets/uniques starting January 2028</t>
  </si>
  <si>
    <t>Affiliates</t>
  </si>
  <si>
    <t>FTDs Afiliados (linha 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</si>
</sst>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dd/mm/yyyy"/>
  </numFmts>
  <fonts count="20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rgb="FFFFFFFF"/>
      <name val="Arial"/>
      <scheme val="minor"/>
    </font>
    <font>
      <i/>
      <sz val="9.0"/>
      <color rgb="FF999999"/>
      <name val="Arial"/>
      <scheme val="minor"/>
    </font>
    <font>
      <b/>
      <i/>
      <sz val="9.0"/>
      <color rgb="FF999999"/>
      <name val="Arial"/>
      <scheme val="minor"/>
    </font>
    <font>
      <b/>
      <sz val="12.0"/>
      <color theme="1"/>
      <name val="Arial"/>
      <scheme val="minor"/>
    </font>
    <font>
      <b/>
      <sz val="10.0"/>
      <color rgb="FF2E7D32"/>
      <name val="Arial"/>
      <scheme val="minor"/>
    </font>
    <font>
      <b/>
      <i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FFFFFF"/>
      <name val="Arial"/>
      <scheme val="minor"/>
    </font>
    <font>
      <b/>
      <sz val="9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rgb="FF1A1A1A"/>
      <name val="Arial"/>
      <scheme val="minor"/>
    </font>
    <font>
      <sz val="10.0"/>
      <color rgb="FF1A1A1A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C1C1E"/>
        <bgColor rgb="FF1C1C1E"/>
      </patternFill>
    </fill>
    <fill>
      <patternFill patternType="solid">
        <fgColor rgb="FF2C2C2E"/>
        <bgColor rgb="FF2C2C2E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rgb="FFFF3900"/>
        <bgColor rgb="FFFF3900"/>
      </patternFill>
    </fill>
    <fill>
      <patternFill patternType="solid">
        <fgColor rgb="FFFFF8E1"/>
        <bgColor rgb="FFFFF8E1"/>
      </patternFill>
    </fill>
    <fill>
      <patternFill patternType="solid">
        <fgColor rgb="FFFFE0B2"/>
        <bgColor rgb="FFFFE0B2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1A1A2E"/>
        <bgColor rgb="FF1A1A2E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4" fontId="3" numFmtId="0" xfId="0" applyAlignment="1" applyFill="1" applyFont="1">
      <alignment horizontal="left"/>
    </xf>
    <xf borderId="0" fillId="0" fontId="4" numFmtId="14" xfId="0" applyAlignment="1" applyFont="1" applyNumberFormat="1">
      <alignment horizontal="right"/>
    </xf>
    <xf borderId="0" fillId="5" fontId="3" numFmtId="0" xfId="0" applyAlignment="1" applyFill="1" applyFont="1">
      <alignment horizontal="right"/>
    </xf>
    <xf borderId="0" fillId="5" fontId="4" numFmtId="14" xfId="0" applyAlignment="1" applyFont="1" applyNumberFormat="1">
      <alignment horizontal="right"/>
    </xf>
    <xf borderId="0" fillId="6" fontId="5" numFmtId="0" xfId="0" applyAlignment="1" applyFill="1" applyFont="1">
      <alignment horizontal="left" readingOrder="0"/>
    </xf>
    <xf borderId="0" fillId="6" fontId="5" numFmtId="0" xfId="0" applyAlignment="1" applyFont="1">
      <alignment horizontal="right"/>
    </xf>
    <xf borderId="0" fillId="4" fontId="3" numFmtId="0" xfId="0" applyAlignment="1" applyFont="1">
      <alignment horizontal="left" readingOrder="0"/>
    </xf>
    <xf borderId="0" fillId="0" fontId="4" numFmtId="3" xfId="0" applyAlignment="1" applyFont="1" applyNumberFormat="1">
      <alignment horizontal="right" readingOrder="0"/>
    </xf>
    <xf borderId="0" fillId="7" fontId="3" numFmtId="3" xfId="0" applyAlignment="1" applyFill="1" applyFont="1" applyNumberFormat="1">
      <alignment horizontal="right"/>
    </xf>
    <xf borderId="0" fillId="8" fontId="3" numFmtId="3" xfId="0" applyAlignment="1" applyFill="1" applyFont="1" applyNumberFormat="1">
      <alignment horizontal="right"/>
    </xf>
    <xf borderId="0" fillId="0" fontId="4" numFmtId="4" xfId="0" applyAlignment="1" applyFont="1" applyNumberFormat="1">
      <alignment horizontal="right" readingOrder="0"/>
    </xf>
    <xf borderId="0" fillId="0" fontId="4" numFmtId="4" xfId="0" applyAlignment="1" applyFont="1" applyNumberFormat="1">
      <alignment horizontal="right"/>
    </xf>
    <xf borderId="0" fillId="7" fontId="3" numFmtId="4" xfId="0" applyAlignment="1" applyFont="1" applyNumberFormat="1">
      <alignment horizontal="right"/>
    </xf>
    <xf borderId="0" fillId="8" fontId="3" numFmtId="4" xfId="0" applyAlignment="1" applyFont="1" applyNumberFormat="1">
      <alignment horizontal="right"/>
    </xf>
    <xf borderId="0" fillId="9" fontId="6" numFmtId="9" xfId="0" applyAlignment="1" applyFill="1" applyFont="1" applyNumberFormat="1">
      <alignment horizontal="right" readingOrder="0"/>
    </xf>
    <xf borderId="0" fillId="9" fontId="6" numFmtId="10" xfId="0" applyAlignment="1" applyFont="1" applyNumberFormat="1">
      <alignment horizontal="right" readingOrder="0"/>
    </xf>
    <xf borderId="0" fillId="7" fontId="7" numFmtId="10" xfId="0" applyAlignment="1" applyFont="1" applyNumberFormat="1">
      <alignment horizontal="right"/>
    </xf>
    <xf borderId="0" fillId="9" fontId="6" numFmtId="10" xfId="0" applyAlignment="1" applyFont="1" applyNumberFormat="1">
      <alignment horizontal="right"/>
    </xf>
    <xf borderId="0" fillId="8" fontId="7" numFmtId="0" xfId="0" applyAlignment="1" applyFont="1">
      <alignment horizontal="right" readingOrder="0"/>
    </xf>
    <xf borderId="0" fillId="10" fontId="3" numFmtId="3" xfId="0" applyAlignment="1" applyFill="1" applyFont="1" applyNumberFormat="1">
      <alignment horizontal="right"/>
    </xf>
    <xf borderId="0" fillId="0" fontId="3" numFmtId="0" xfId="0" applyAlignment="1" applyFont="1">
      <alignment horizontal="left" readingOrder="0"/>
    </xf>
    <xf borderId="0" fillId="0" fontId="4" numFmtId="3" xfId="0" applyAlignment="1" applyFont="1" applyNumberFormat="1">
      <alignment horizontal="right"/>
    </xf>
    <xf borderId="0" fillId="0" fontId="4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horizontal="right"/>
    </xf>
    <xf borderId="0" fillId="9" fontId="6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10" xfId="0" applyAlignment="1" applyFont="1" applyNumberFormat="1">
      <alignment horizontal="right"/>
    </xf>
    <xf borderId="0" fillId="11" fontId="3" numFmtId="0" xfId="0" applyAlignment="1" applyFill="1" applyFont="1">
      <alignment horizontal="right"/>
    </xf>
    <xf borderId="0" fillId="0" fontId="4" numFmtId="10" xfId="0" applyAlignment="1" applyFont="1" applyNumberFormat="1">
      <alignment horizontal="right" readingOrder="0"/>
    </xf>
    <xf borderId="0" fillId="0" fontId="4" numFmtId="10" xfId="0" applyAlignment="1" applyFont="1" applyNumberFormat="1">
      <alignment horizontal="right"/>
    </xf>
    <xf borderId="0" fillId="7" fontId="3" numFmtId="10" xfId="0" applyAlignment="1" applyFont="1" applyNumberFormat="1">
      <alignment horizontal="right"/>
    </xf>
    <xf borderId="0" fillId="8" fontId="3" numFmtId="10" xfId="0" applyAlignment="1" applyFont="1" applyNumberFormat="1">
      <alignment horizontal="right"/>
    </xf>
    <xf borderId="0" fillId="9" fontId="7" numFmtId="0" xfId="0" applyAlignment="1" applyFont="1">
      <alignment horizontal="left" readingOrder="0"/>
    </xf>
    <xf borderId="0" fillId="9" fontId="6" numFmtId="10" xfId="0" applyAlignment="1" applyFont="1" applyNumberFormat="1">
      <alignment horizontal="right" readingOrder="0"/>
    </xf>
    <xf borderId="0" fillId="7" fontId="7" numFmtId="10" xfId="0" applyAlignment="1" applyFont="1" applyNumberFormat="1">
      <alignment horizontal="right"/>
    </xf>
    <xf borderId="0" fillId="12" fontId="8" numFmtId="3" xfId="0" applyAlignment="1" applyFill="1" applyFont="1" applyNumberFormat="1">
      <alignment horizontal="right"/>
    </xf>
    <xf borderId="0" fillId="7" fontId="8" numFmtId="3" xfId="0" applyAlignment="1" applyFont="1" applyNumberFormat="1">
      <alignment horizontal="right"/>
    </xf>
    <xf borderId="0" fillId="8" fontId="8" numFmtId="3" xfId="0" applyAlignment="1" applyFont="1" applyNumberFormat="1">
      <alignment horizontal="right"/>
    </xf>
    <xf borderId="0" fillId="7" fontId="3" numFmtId="3" xfId="0" applyAlignment="1" applyFont="1" applyNumberFormat="1">
      <alignment horizontal="right"/>
    </xf>
    <xf borderId="0" fillId="8" fontId="3" numFmtId="3" xfId="0" applyAlignment="1" applyFont="1" applyNumberFormat="1">
      <alignment horizontal="right"/>
    </xf>
    <xf borderId="0" fillId="13" fontId="9" numFmtId="10" xfId="0" applyAlignment="1" applyFill="1" applyFont="1" applyNumberFormat="1">
      <alignment horizontal="left" readingOrder="0"/>
    </xf>
    <xf borderId="0" fillId="13" fontId="9" numFmtId="10" xfId="0" applyAlignment="1" applyFont="1" applyNumberFormat="1">
      <alignment horizontal="righ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3" numFmtId="3" xfId="0" applyAlignment="1" applyFont="1" applyNumberFormat="1">
      <alignment horizontal="right"/>
    </xf>
    <xf borderId="0" fillId="6" fontId="5" numFmtId="3" xfId="0" applyAlignment="1" applyFont="1" applyNumberFormat="1">
      <alignment horizontal="right" readingOrder="0"/>
    </xf>
    <xf borderId="0" fillId="6" fontId="5" numFmtId="3" xfId="0" applyAlignment="1" applyFont="1" applyNumberFormat="1">
      <alignment horizontal="right"/>
    </xf>
    <xf borderId="0" fillId="10" fontId="3" numFmtId="3" xfId="0" applyAlignment="1" applyFont="1" applyNumberFormat="1">
      <alignment horizontal="left" readingOrder="0"/>
    </xf>
    <xf borderId="0" fillId="10" fontId="3" numFmtId="4" xfId="0" applyAlignment="1" applyFont="1" applyNumberFormat="1">
      <alignment horizontal="right" readingOrder="0"/>
    </xf>
    <xf borderId="0" fillId="9" fontId="7" numFmtId="10" xfId="0" applyAlignment="1" applyFont="1" applyNumberFormat="1">
      <alignment horizontal="right" readingOrder="0"/>
    </xf>
    <xf borderId="0" fillId="9" fontId="7" numFmtId="10" xfId="0" applyAlignment="1" applyFont="1" applyNumberFormat="1">
      <alignment horizontal="right"/>
    </xf>
    <xf borderId="0" fillId="12" fontId="7" numFmtId="10" xfId="0" applyAlignment="1" applyFont="1" applyNumberFormat="1">
      <alignment horizontal="right"/>
    </xf>
    <xf borderId="0" fillId="9" fontId="7" numFmtId="10" xfId="0" applyAlignment="1" applyFont="1" applyNumberFormat="1">
      <alignment horizontal="right"/>
    </xf>
    <xf borderId="0" fillId="9" fontId="7" numFmtId="10" xfId="0" applyAlignment="1" applyFont="1" applyNumberFormat="1">
      <alignment horizontal="right" readingOrder="0"/>
    </xf>
    <xf borderId="0" fillId="8" fontId="7" numFmtId="10" xfId="0" applyAlignment="1" applyFont="1" applyNumberFormat="1">
      <alignment horizontal="right" readingOrder="0"/>
    </xf>
    <xf borderId="0" fillId="10" fontId="3" numFmtId="3" xfId="0" applyAlignment="1" applyFont="1" applyNumberFormat="1">
      <alignment horizontal="right" readingOrder="0"/>
    </xf>
    <xf borderId="0" fillId="12" fontId="3" numFmtId="3" xfId="0" applyAlignment="1" applyFont="1" applyNumberFormat="1">
      <alignment horizontal="right"/>
    </xf>
    <xf borderId="0" fillId="12" fontId="7" numFmtId="10" xfId="0" applyAlignment="1" applyFont="1" applyNumberFormat="1">
      <alignment horizontal="right" readingOrder="0"/>
    </xf>
    <xf borderId="0" fillId="7" fontId="7" numFmtId="10" xfId="0" applyAlignment="1" applyFont="1" applyNumberFormat="1">
      <alignment horizontal="right" readingOrder="0"/>
    </xf>
    <xf borderId="0" fillId="11" fontId="4" numFmtId="10" xfId="0" applyAlignment="1" applyFont="1" applyNumberFormat="1">
      <alignment horizontal="right" readingOrder="0"/>
    </xf>
    <xf borderId="0" fillId="12" fontId="3" numFmtId="10" xfId="0" applyAlignment="1" applyFont="1" applyNumberFormat="1">
      <alignment horizontal="right"/>
    </xf>
    <xf borderId="0" fillId="7" fontId="3" numFmtId="10" xfId="0" applyAlignment="1" applyFont="1" applyNumberFormat="1">
      <alignment horizontal="right"/>
    </xf>
    <xf borderId="0" fillId="8" fontId="3" numFmtId="10" xfId="0" applyAlignment="1" applyFont="1" applyNumberFormat="1">
      <alignment horizontal="right"/>
    </xf>
    <xf borderId="0" fillId="10" fontId="10" numFmtId="10" xfId="0" applyAlignment="1" applyFont="1" applyNumberFormat="1">
      <alignment horizontal="left" readingOrder="0"/>
    </xf>
    <xf borderId="0" fillId="10" fontId="11" numFmtId="10" xfId="0" applyAlignment="1" applyFont="1" applyNumberFormat="1">
      <alignment horizontal="right" readingOrder="0"/>
    </xf>
    <xf borderId="0" fillId="12" fontId="10" numFmtId="10" xfId="0" applyAlignment="1" applyFont="1" applyNumberFormat="1">
      <alignment horizontal="right"/>
    </xf>
    <xf borderId="0" fillId="7" fontId="10" numFmtId="10" xfId="0" applyAlignment="1" applyFont="1" applyNumberFormat="1">
      <alignment horizontal="right"/>
    </xf>
    <xf borderId="0" fillId="8" fontId="10" numFmtId="10" xfId="0" applyAlignment="1" applyFont="1" applyNumberFormat="1">
      <alignment horizontal="right"/>
    </xf>
    <xf borderId="0" fillId="0" fontId="3" numFmtId="10" xfId="0" applyAlignment="1" applyFont="1" applyNumberFormat="1">
      <alignment horizontal="left" readingOrder="0"/>
    </xf>
    <xf borderId="0" fillId="0" fontId="3" numFmtId="10" xfId="0" applyAlignment="1" applyFont="1" applyNumberFormat="1">
      <alignment horizontal="right" readingOrder="0"/>
    </xf>
    <xf borderId="0" fillId="11" fontId="3" numFmtId="10" xfId="0" applyAlignment="1" applyFont="1" applyNumberFormat="1">
      <alignment horizontal="left" readingOrder="0"/>
    </xf>
    <xf borderId="0" fillId="11" fontId="8" numFmtId="10" xfId="0" applyAlignment="1" applyFont="1" applyNumberFormat="1">
      <alignment horizontal="right" readingOrder="0"/>
    </xf>
    <xf borderId="0" fillId="12" fontId="8" numFmtId="10" xfId="0" applyAlignment="1" applyFont="1" applyNumberFormat="1">
      <alignment horizontal="right"/>
    </xf>
    <xf borderId="0" fillId="7" fontId="8" numFmtId="10" xfId="0" applyAlignment="1" applyFont="1" applyNumberFormat="1">
      <alignment horizontal="right"/>
    </xf>
    <xf borderId="0" fillId="8" fontId="8" numFmtId="10" xfId="0" applyAlignment="1" applyFont="1" applyNumberFormat="1">
      <alignment horizontal="right"/>
    </xf>
    <xf borderId="0" fillId="12" fontId="8" numFmtId="3" xfId="0" applyAlignment="1" applyFont="1" applyNumberFormat="1">
      <alignment horizontal="left" readingOrder="0"/>
    </xf>
    <xf borderId="0" fillId="12" fontId="8" numFmtId="3" xfId="0" applyAlignment="1" applyFont="1" applyNumberFormat="1">
      <alignment horizontal="right" readingOrder="0"/>
    </xf>
    <xf borderId="0" fillId="9" fontId="7" numFmtId="3" xfId="0" applyAlignment="1" applyFont="1" applyNumberFormat="1">
      <alignment horizontal="right" readingOrder="0"/>
    </xf>
    <xf borderId="0" fillId="12" fontId="7" numFmtId="3" xfId="0" applyAlignment="1" applyFont="1" applyNumberFormat="1">
      <alignment horizontal="right"/>
    </xf>
    <xf borderId="0" fillId="7" fontId="7" numFmtId="3" xfId="0" applyAlignment="1" applyFont="1" applyNumberFormat="1">
      <alignment horizontal="right"/>
    </xf>
    <xf borderId="0" fillId="10" fontId="12" numFmtId="3" xfId="0" applyAlignment="1" applyFont="1" applyNumberFormat="1">
      <alignment horizontal="left" readingOrder="0"/>
    </xf>
    <xf borderId="0" fillId="10" fontId="12" numFmtId="4" xfId="0" applyFont="1" applyNumberFormat="1"/>
    <xf borderId="0" fillId="12" fontId="12" numFmtId="4" xfId="0" applyFont="1" applyNumberFormat="1"/>
    <xf borderId="0" fillId="7" fontId="12" numFmtId="4" xfId="0" applyFont="1" applyNumberFormat="1"/>
    <xf borderId="0" fillId="8" fontId="12" numFmtId="4" xfId="0" applyFont="1" applyNumberFormat="1"/>
    <xf borderId="0" fillId="9" fontId="7" numFmtId="164" xfId="0" applyAlignment="1" applyFont="1" applyNumberFormat="1">
      <alignment horizontal="right" readingOrder="0"/>
    </xf>
    <xf borderId="0" fillId="12" fontId="7" numFmtId="164" xfId="0" applyAlignment="1" applyFont="1" applyNumberFormat="1">
      <alignment horizontal="right"/>
    </xf>
    <xf borderId="0" fillId="7" fontId="7" numFmtId="164" xfId="0" applyAlignment="1" applyFont="1" applyNumberFormat="1">
      <alignment horizontal="right"/>
    </xf>
    <xf borderId="0" fillId="8" fontId="8" numFmtId="164" xfId="0" applyAlignment="1" applyFont="1" applyNumberFormat="1">
      <alignment horizontal="right"/>
    </xf>
    <xf borderId="0" fillId="0" fontId="13" numFmtId="0" xfId="0" applyAlignment="1" applyFont="1">
      <alignment readingOrder="0"/>
    </xf>
    <xf borderId="0" fillId="0" fontId="13" numFmtId="2" xfId="0" applyFont="1" applyNumberFormat="1"/>
    <xf borderId="0" fillId="12" fontId="13" numFmtId="2" xfId="0" applyFont="1" applyNumberFormat="1"/>
    <xf borderId="0" fillId="7" fontId="13" numFmtId="2" xfId="0" applyFont="1" applyNumberFormat="1"/>
    <xf borderId="0" fillId="8" fontId="13" numFmtId="2" xfId="0" applyFont="1" applyNumberFormat="1"/>
    <xf borderId="0" fillId="0" fontId="13" numFmtId="3" xfId="0" applyFont="1" applyNumberFormat="1"/>
    <xf borderId="0" fillId="6" fontId="5" numFmtId="10" xfId="0" applyAlignment="1" applyFont="1" applyNumberFormat="1">
      <alignment horizontal="right"/>
    </xf>
    <xf borderId="0" fillId="0" fontId="7" numFmtId="0" xfId="0" applyAlignment="1" applyFont="1">
      <alignment horizontal="left" readingOrder="0"/>
    </xf>
    <xf borderId="0" fillId="0" fontId="7" numFmtId="10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/>
    </xf>
    <xf borderId="0" fillId="0" fontId="7" numFmtId="10" xfId="0" applyAlignment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5" numFmtId="10" xfId="0" applyAlignment="1" applyFont="1" applyNumberFormat="1">
      <alignment readingOrder="0"/>
    </xf>
    <xf borderId="0" fillId="0" fontId="15" numFmtId="3" xfId="0" applyAlignment="1" applyFont="1" applyNumberFormat="1">
      <alignment readingOrder="0"/>
    </xf>
    <xf borderId="0" fillId="14" fontId="14" numFmtId="0" xfId="0" applyAlignment="1" applyFill="1" applyFont="1">
      <alignment readingOrder="0"/>
    </xf>
    <xf borderId="0" fillId="14" fontId="14" numFmtId="0" xfId="0" applyFont="1"/>
    <xf borderId="0" fillId="10" fontId="16" numFmtId="0" xfId="0" applyAlignment="1" applyFont="1">
      <alignment readingOrder="0"/>
    </xf>
    <xf borderId="0" fillId="11" fontId="17" numFmtId="0" xfId="0" applyAlignment="1" applyFont="1">
      <alignment horizontal="center" readingOrder="0"/>
    </xf>
    <xf borderId="1" fillId="15" fontId="12" numFmtId="0" xfId="0" applyAlignment="1" applyBorder="1" applyFill="1" applyFont="1">
      <alignment readingOrder="0"/>
    </xf>
    <xf borderId="2" fillId="15" fontId="13" numFmtId="0" xfId="0" applyBorder="1" applyFont="1"/>
    <xf borderId="3" fillId="15" fontId="13" numFmtId="0" xfId="0" applyBorder="1" applyFont="1"/>
    <xf borderId="0" fillId="11" fontId="17" numFmtId="9" xfId="0" applyAlignment="1" applyFont="1" applyNumberFormat="1">
      <alignment horizontal="center" readingOrder="0"/>
    </xf>
    <xf borderId="4" fillId="0" fontId="13" numFmtId="0" xfId="0" applyAlignment="1" applyBorder="1" applyFont="1">
      <alignment readingOrder="0"/>
    </xf>
    <xf borderId="5" fillId="0" fontId="13" numFmtId="0" xfId="0" applyBorder="1" applyFont="1"/>
    <xf borderId="6" fillId="0" fontId="13" numFmtId="0" xfId="0" applyBorder="1" applyFont="1"/>
    <xf borderId="7" fillId="0" fontId="13" numFmtId="0" xfId="0" applyAlignment="1" applyBorder="1" applyFont="1">
      <alignment readingOrder="0"/>
    </xf>
    <xf borderId="8" fillId="0" fontId="13" numFmtId="0" xfId="0" applyBorder="1" applyFont="1"/>
    <xf borderId="0" fillId="6" fontId="2" numFmtId="0" xfId="0" applyFont="1"/>
    <xf borderId="0" fillId="16" fontId="18" numFmtId="0" xfId="0" applyAlignment="1" applyFill="1" applyFont="1">
      <alignment horizontal="center" vertical="center"/>
    </xf>
    <xf borderId="0" fillId="17" fontId="18" numFmtId="0" xfId="0" applyAlignment="1" applyFill="1" applyFont="1">
      <alignment horizontal="left" vertical="center"/>
    </xf>
    <xf borderId="0" fillId="17" fontId="19" numFmtId="0" xfId="0" applyAlignment="1" applyFont="1">
      <alignment horizontal="left" vertical="center"/>
    </xf>
    <xf borderId="0" fillId="18" fontId="19" numFmtId="9" xfId="0" applyAlignment="1" applyFill="1" applyFont="1" applyNumberFormat="1">
      <alignment horizontal="center" readingOrder="0" vertical="center"/>
    </xf>
    <xf borderId="0" fillId="17" fontId="19" numFmtId="165" xfId="0" applyAlignment="1" applyFont="1" applyNumberFormat="1">
      <alignment horizontal="center" readingOrder="0" vertical="center"/>
    </xf>
    <xf borderId="0" fillId="11" fontId="18" numFmtId="0" xfId="0" applyAlignment="1" applyFont="1">
      <alignment horizontal="left" vertical="center"/>
    </xf>
    <xf borderId="0" fillId="11" fontId="19" numFmtId="0" xfId="0" applyAlignment="1" applyFont="1">
      <alignment horizontal="left" vertical="center"/>
    </xf>
    <xf borderId="0" fillId="0" fontId="19" numFmtId="9" xfId="0" applyAlignment="1" applyFont="1" applyNumberFormat="1">
      <alignment horizontal="center" readingOrder="0" vertical="center"/>
    </xf>
    <xf borderId="0" fillId="11" fontId="19" numFmtId="165" xfId="0" applyAlignment="1" applyFont="1" applyNumberFormat="1">
      <alignment horizontal="center" readingOrder="0" vertical="center"/>
    </xf>
    <xf borderId="7" fillId="0" fontId="13" numFmtId="2" xfId="0" applyAlignment="1" applyBorder="1" applyFont="1" applyNumberFormat="1">
      <alignment readingOrder="0"/>
    </xf>
    <xf borderId="0" fillId="17" fontId="19" numFmtId="9" xfId="0" applyAlignment="1" applyFont="1" applyNumberFormat="1">
      <alignment horizontal="center" readingOrder="0" vertical="center"/>
    </xf>
    <xf borderId="0" fillId="11" fontId="19" numFmtId="9" xfId="0" applyAlignment="1" applyFont="1" applyNumberFormat="1">
      <alignment horizontal="center" readingOrder="0"/>
    </xf>
    <xf borderId="0" fillId="11" fontId="19" numFmtId="0" xfId="0" applyAlignment="1" applyFont="1">
      <alignment horizontal="left" readingOrder="0" vertical="center"/>
    </xf>
    <xf borderId="9" fillId="0" fontId="13" numFmtId="0" xfId="0" applyAlignment="1" applyBorder="1" applyFont="1">
      <alignment readingOrder="0"/>
    </xf>
    <xf borderId="10" fillId="0" fontId="13" numFmtId="0" xfId="0" applyBorder="1" applyFont="1"/>
    <xf borderId="11" fillId="0" fontId="13" numFmtId="0" xfId="0" applyBorder="1" applyFont="1"/>
    <xf borderId="0" fillId="17" fontId="19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3" numFmtId="9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21.63"/>
    <col min="2" max="10" width="12.63" outlineLevel="1"/>
    <col customWidth="1" min="11" max="11" width="10.63"/>
    <col min="12" max="23" width="12.63" outlineLevel="1"/>
    <col min="25" max="36" width="12.63" outlineLevel="1"/>
    <col min="38" max="49" width="12.63" outlineLevel="1"/>
  </cols>
  <sheetData>
    <row r="1">
      <c r="A1" s="1"/>
      <c r="B1" s="2">
        <v>2026.0</v>
      </c>
      <c r="L1" s="2">
        <v>2027.0</v>
      </c>
      <c r="Y1" s="2">
        <v>2028.0</v>
      </c>
      <c r="AL1" s="2">
        <v>2029.0</v>
      </c>
      <c r="AY1" s="3" t="s">
        <v>0</v>
      </c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</v>
      </c>
      <c r="P2" s="5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11</v>
      </c>
      <c r="Z2" s="5" t="s">
        <v>12</v>
      </c>
      <c r="AA2" s="5" t="s">
        <v>13</v>
      </c>
      <c r="AB2" s="5" t="s">
        <v>1</v>
      </c>
      <c r="AC2" s="5" t="s">
        <v>2</v>
      </c>
      <c r="AD2" s="5" t="s">
        <v>3</v>
      </c>
      <c r="AE2" s="5" t="s">
        <v>4</v>
      </c>
      <c r="AF2" s="5" t="s">
        <v>5</v>
      </c>
      <c r="AG2" s="5" t="s">
        <v>6</v>
      </c>
      <c r="AH2" s="5" t="s">
        <v>7</v>
      </c>
      <c r="AI2" s="5" t="s">
        <v>8</v>
      </c>
      <c r="AJ2" s="5" t="s">
        <v>9</v>
      </c>
      <c r="AK2" s="5" t="s">
        <v>10</v>
      </c>
      <c r="AL2" s="5" t="s">
        <v>11</v>
      </c>
      <c r="AM2" s="5" t="s">
        <v>12</v>
      </c>
      <c r="AN2" s="5" t="s">
        <v>13</v>
      </c>
      <c r="AO2" s="5" t="s">
        <v>1</v>
      </c>
      <c r="AP2" s="5" t="s">
        <v>2</v>
      </c>
      <c r="AQ2" s="5" t="s">
        <v>3</v>
      </c>
      <c r="AR2" s="5" t="s">
        <v>4</v>
      </c>
      <c r="AS2" s="5" t="s">
        <v>5</v>
      </c>
      <c r="AT2" s="5" t="s">
        <v>6</v>
      </c>
      <c r="AU2" s="5" t="s">
        <v>7</v>
      </c>
      <c r="AV2" s="5" t="s">
        <v>8</v>
      </c>
      <c r="AW2" s="5" t="s">
        <v>9</v>
      </c>
      <c r="AX2" s="5" t="s">
        <v>10</v>
      </c>
    </row>
    <row r="3" hidden="1">
      <c r="A3" s="6"/>
      <c r="B3" s="7">
        <f>DATE(2026,4,1)</f>
        <v>46113</v>
      </c>
      <c r="C3" s="7">
        <f>DATE(2026,5,1)</f>
        <v>46143</v>
      </c>
      <c r="D3" s="7">
        <f>DATE(2026,6,1)</f>
        <v>46174</v>
      </c>
      <c r="E3" s="7">
        <f>DATE(2026,7,1)</f>
        <v>46204</v>
      </c>
      <c r="F3" s="7">
        <f>DATE(2026,8,1)</f>
        <v>46235</v>
      </c>
      <c r="G3" s="7">
        <f>DATE(2026,9,1)</f>
        <v>46266</v>
      </c>
      <c r="H3" s="7">
        <f>DATE(2026,10,1)</f>
        <v>46296</v>
      </c>
      <c r="I3" s="7">
        <f>DATE(2026,11,1)</f>
        <v>46327</v>
      </c>
      <c r="J3" s="7">
        <f>DATE(2026,12,1)</f>
        <v>46357</v>
      </c>
      <c r="K3" s="8"/>
      <c r="L3" s="9">
        <f>DATE(2027,1,1)</f>
        <v>46388</v>
      </c>
      <c r="M3" s="9">
        <f>DATE(2027,2,1)</f>
        <v>46419</v>
      </c>
      <c r="N3" s="9">
        <f>DATE(2027,3,1)</f>
        <v>46447</v>
      </c>
      <c r="O3" s="9">
        <f>DATE(2027,4,1)</f>
        <v>46478</v>
      </c>
      <c r="P3" s="9">
        <f>DATE(2027,5,1)</f>
        <v>46508</v>
      </c>
      <c r="Q3" s="9">
        <f>DATE(2027,6,1)</f>
        <v>46539</v>
      </c>
      <c r="R3" s="9">
        <f>DATE(2027,7,1)</f>
        <v>46569</v>
      </c>
      <c r="S3" s="9">
        <f>DATE(2027,8,1)</f>
        <v>46600</v>
      </c>
      <c r="T3" s="9">
        <f>DATE(2027,9,1)</f>
        <v>46631</v>
      </c>
      <c r="U3" s="9">
        <f>DATE(2027,10,1)</f>
        <v>46661</v>
      </c>
      <c r="V3" s="9">
        <f>DATE(2027,11,1)</f>
        <v>46692</v>
      </c>
      <c r="W3" s="9">
        <f>DATE(2027,12,1)</f>
        <v>46722</v>
      </c>
      <c r="X3" s="8"/>
      <c r="Y3" s="9">
        <f>DATE(2028,1,1)</f>
        <v>46753</v>
      </c>
      <c r="Z3" s="9">
        <f>DATE(2028,2,1)</f>
        <v>46784</v>
      </c>
      <c r="AA3" s="9">
        <f>DATE(2028,3,1)</f>
        <v>46813</v>
      </c>
      <c r="AB3" s="9">
        <f>DATE(2028,4,1)</f>
        <v>46844</v>
      </c>
      <c r="AC3" s="9">
        <f>DATE(2028,5,1)</f>
        <v>46874</v>
      </c>
      <c r="AD3" s="9">
        <f>DATE(2028,6,1)</f>
        <v>46905</v>
      </c>
      <c r="AE3" s="9">
        <f>DATE(2028,7,1)</f>
        <v>46935</v>
      </c>
      <c r="AF3" s="9">
        <f>DATE(2028,8,1)</f>
        <v>46966</v>
      </c>
      <c r="AG3" s="9">
        <f>DATE(2028,9,1)</f>
        <v>46997</v>
      </c>
      <c r="AH3" s="9">
        <f>DATE(2028,10,1)</f>
        <v>47027</v>
      </c>
      <c r="AI3" s="9">
        <f>DATE(2028,11,1)</f>
        <v>47058</v>
      </c>
      <c r="AJ3" s="9">
        <f>DATE(2028,12,1)</f>
        <v>47088</v>
      </c>
      <c r="AK3" s="8"/>
      <c r="AL3" s="9">
        <f>DATE(2029,1,1)</f>
        <v>47119</v>
      </c>
      <c r="AM3" s="9">
        <f>DATE(2029,2,1)</f>
        <v>47150</v>
      </c>
      <c r="AN3" s="9">
        <f>DATE(2029,3,1)</f>
        <v>47178</v>
      </c>
      <c r="AO3" s="9">
        <f>DATE(2029,4,1)</f>
        <v>47209</v>
      </c>
      <c r="AP3" s="9">
        <f>DATE(2029,5,1)</f>
        <v>47239</v>
      </c>
      <c r="AQ3" s="9">
        <f>DATE(2029,6,1)</f>
        <v>47270</v>
      </c>
      <c r="AR3" s="9">
        <f>DATE(2029,7,1)</f>
        <v>47300</v>
      </c>
      <c r="AS3" s="9">
        <f>DATE(2029,8,1)</f>
        <v>47331</v>
      </c>
      <c r="AT3" s="9">
        <f>DATE(2029,9,1)</f>
        <v>47362</v>
      </c>
      <c r="AU3" s="9">
        <f>DATE(2029,10,1)</f>
        <v>47392</v>
      </c>
      <c r="AV3" s="9">
        <f>DATE(2029,11,1)</f>
        <v>47423</v>
      </c>
      <c r="AW3" s="9">
        <f>DATE(2029,12,1)</f>
        <v>47453</v>
      </c>
      <c r="AX3" s="8"/>
      <c r="AY3" s="8"/>
    </row>
    <row r="4">
      <c r="A4" s="10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>
      <c r="A5" s="12" t="s">
        <v>15</v>
      </c>
      <c r="B5" s="13">
        <v>851568.0</v>
      </c>
      <c r="C5" s="13">
        <v>852521.0</v>
      </c>
      <c r="D5" s="13">
        <v>849727.0</v>
      </c>
      <c r="E5" s="13">
        <v>854989.0</v>
      </c>
      <c r="F5" s="13">
        <v>786045.0</v>
      </c>
      <c r="G5" s="13">
        <v>789045.0</v>
      </c>
      <c r="H5" s="13">
        <v>793045.0</v>
      </c>
      <c r="I5" s="13">
        <v>796045.0</v>
      </c>
      <c r="J5" s="13">
        <v>791945.0</v>
      </c>
      <c r="K5" s="14">
        <f>SUM(B5:J5)</f>
        <v>7364930</v>
      </c>
      <c r="L5" s="13">
        <v>833333.0</v>
      </c>
      <c r="M5" s="13">
        <v>833333.0</v>
      </c>
      <c r="N5" s="13">
        <v>833333.0</v>
      </c>
      <c r="O5" s="13">
        <v>833333.0</v>
      </c>
      <c r="P5" s="13">
        <v>833333.0</v>
      </c>
      <c r="Q5" s="13">
        <v>833333.0</v>
      </c>
      <c r="R5" s="13">
        <v>833333.0</v>
      </c>
      <c r="S5" s="13">
        <v>833333.0</v>
      </c>
      <c r="T5" s="13">
        <v>833333.0</v>
      </c>
      <c r="U5" s="13">
        <v>833333.0</v>
      </c>
      <c r="V5" s="13">
        <v>833333.0</v>
      </c>
      <c r="W5" s="13">
        <v>833333.0</v>
      </c>
      <c r="X5" s="14">
        <f>SUM(L5:W5)</f>
        <v>9999996</v>
      </c>
      <c r="Y5" s="13">
        <v>833333.0</v>
      </c>
      <c r="Z5" s="13">
        <v>833333.0</v>
      </c>
      <c r="AA5" s="13">
        <v>833333.0</v>
      </c>
      <c r="AB5" s="13">
        <v>833333.0</v>
      </c>
      <c r="AC5" s="13">
        <v>833333.0</v>
      </c>
      <c r="AD5" s="13">
        <v>833333.0</v>
      </c>
      <c r="AE5" s="13">
        <v>833333.0</v>
      </c>
      <c r="AF5" s="13">
        <v>833333.0</v>
      </c>
      <c r="AG5" s="13">
        <v>833333.0</v>
      </c>
      <c r="AH5" s="13">
        <v>833333.0</v>
      </c>
      <c r="AI5" s="13">
        <v>833333.0</v>
      </c>
      <c r="AJ5" s="13">
        <v>833333.0</v>
      </c>
      <c r="AK5" s="14">
        <f>SUM(Y5:AJ5)</f>
        <v>9999996</v>
      </c>
      <c r="AL5" s="13">
        <v>833333.0</v>
      </c>
      <c r="AM5" s="13">
        <v>833333.0</v>
      </c>
      <c r="AN5" s="13">
        <v>833333.0</v>
      </c>
      <c r="AO5" s="13">
        <v>833333.0</v>
      </c>
      <c r="AP5" s="13">
        <v>833333.0</v>
      </c>
      <c r="AQ5" s="13">
        <v>833333.0</v>
      </c>
      <c r="AR5" s="13">
        <v>833333.0</v>
      </c>
      <c r="AS5" s="13">
        <v>833333.0</v>
      </c>
      <c r="AT5" s="13">
        <v>833333.0</v>
      </c>
      <c r="AU5" s="13">
        <v>833333.0</v>
      </c>
      <c r="AV5" s="13">
        <v>833333.0</v>
      </c>
      <c r="AW5" s="13">
        <v>833333.0</v>
      </c>
      <c r="AX5" s="14">
        <f>SUM(AL5:AW5)</f>
        <v>9999996</v>
      </c>
      <c r="AY5" s="15">
        <f>K5+X5+AK5+AX5</f>
        <v>37364918</v>
      </c>
    </row>
    <row r="6">
      <c r="A6" s="12" t="s">
        <v>16</v>
      </c>
      <c r="B6" s="16">
        <v>194.91</v>
      </c>
      <c r="C6" s="17">
        <f t="shared" ref="C6:J6" si="1">B6*(1+B7)*IF(AND($E$77&lt;&gt;"",C3&gt;=$E$77,B3&lt;$E$77),1+$C$77,1)</f>
        <v>265.0776</v>
      </c>
      <c r="D6" s="17">
        <f t="shared" si="1"/>
        <v>159.04656</v>
      </c>
      <c r="E6" s="17">
        <f t="shared" si="1"/>
        <v>159.04656</v>
      </c>
      <c r="F6" s="17">
        <f t="shared" si="1"/>
        <v>238.56984</v>
      </c>
      <c r="G6" s="17">
        <f t="shared" si="1"/>
        <v>286.283808</v>
      </c>
      <c r="H6" s="17">
        <f t="shared" si="1"/>
        <v>279.8424223</v>
      </c>
      <c r="I6" s="17">
        <f t="shared" si="1"/>
        <v>237.866059</v>
      </c>
      <c r="J6" s="17">
        <f t="shared" si="1"/>
        <v>190.2928472</v>
      </c>
      <c r="K6" s="18">
        <f>IF(K8&gt;0,K5/K8,0)</f>
        <v>137.1677188</v>
      </c>
      <c r="L6" s="17">
        <f>J6*(1+J7)*IF(AND($E$77&lt;&gt;"",L3&gt;=$E$77,J3&lt;$E$77),1+$C$77,1)</f>
        <v>142.7196354</v>
      </c>
      <c r="M6" s="17">
        <f t="shared" ref="M6:W6" si="2">L6*(1+L7)*IF(AND($E$77&lt;&gt;"",M3&gt;=$E$77,L3&lt;$E$77),1+$C$77,1)</f>
        <v>107.0397265</v>
      </c>
      <c r="N6" s="17">
        <f t="shared" si="2"/>
        <v>80.2797949</v>
      </c>
      <c r="O6" s="17">
        <f t="shared" si="2"/>
        <v>72.25181541</v>
      </c>
      <c r="P6" s="17">
        <f t="shared" si="2"/>
        <v>65.02663387</v>
      </c>
      <c r="Q6" s="17">
        <f t="shared" si="2"/>
        <v>58.52397048</v>
      </c>
      <c r="R6" s="17">
        <f t="shared" si="2"/>
        <v>58.52397048</v>
      </c>
      <c r="S6" s="17">
        <f t="shared" si="2"/>
        <v>58.52397048</v>
      </c>
      <c r="T6" s="17">
        <f t="shared" si="2"/>
        <v>58.52397048</v>
      </c>
      <c r="U6" s="17">
        <f t="shared" si="2"/>
        <v>58.52397048</v>
      </c>
      <c r="V6" s="17">
        <f t="shared" si="2"/>
        <v>58.52397048</v>
      </c>
      <c r="W6" s="17">
        <f t="shared" si="2"/>
        <v>58.52397048</v>
      </c>
      <c r="X6" s="18">
        <f>IF(X8&gt;0,X5/X8,0)</f>
        <v>44.68737446</v>
      </c>
      <c r="Y6" s="17">
        <f>W6*(1+W7)*IF(AND($E$77&lt;&gt;"",Y3&gt;=$E$77,W3&lt;$E$77),1+$C$77,1)</f>
        <v>58.52397048</v>
      </c>
      <c r="Z6" s="17">
        <f t="shared" ref="Z6:AJ6" si="3">Y6*(1+Y7)*IF(AND($E$77&lt;&gt;"",Z3&gt;=$E$77,Y3&lt;$E$77),1+$C$77,1)</f>
        <v>58.52397048</v>
      </c>
      <c r="AA6" s="17">
        <f t="shared" si="3"/>
        <v>58.52397048</v>
      </c>
      <c r="AB6" s="17">
        <f t="shared" si="3"/>
        <v>58.52397048</v>
      </c>
      <c r="AC6" s="17">
        <f t="shared" si="3"/>
        <v>58.52397048</v>
      </c>
      <c r="AD6" s="17">
        <f t="shared" si="3"/>
        <v>58.52397048</v>
      </c>
      <c r="AE6" s="17">
        <f t="shared" si="3"/>
        <v>58.52397048</v>
      </c>
      <c r="AF6" s="17">
        <f t="shared" si="3"/>
        <v>58.52397048</v>
      </c>
      <c r="AG6" s="17">
        <f t="shared" si="3"/>
        <v>58.52397048</v>
      </c>
      <c r="AH6" s="17">
        <f t="shared" si="3"/>
        <v>58.52397048</v>
      </c>
      <c r="AI6" s="17">
        <f t="shared" si="3"/>
        <v>58.52397048</v>
      </c>
      <c r="AJ6" s="17">
        <f t="shared" si="3"/>
        <v>58.52397048</v>
      </c>
      <c r="AK6" s="18">
        <f>IF(AK8&gt;0,AK5/AK8,0)</f>
        <v>36.85763153</v>
      </c>
      <c r="AL6" s="17">
        <f>AJ6*(1+AJ7)*IF(AND($E$77&lt;&gt;"",AL3&gt;=$E$77,AJ3&lt;$E$77),1+$C$77,1)</f>
        <v>58.52397048</v>
      </c>
      <c r="AM6" s="17">
        <f t="shared" ref="AM6:AW6" si="4">AL6*(1+AL7)*IF(AND($E$77&lt;&gt;"",AM3&gt;=$E$77,AL3&lt;$E$77),1+$C$77,1)</f>
        <v>58.52397048</v>
      </c>
      <c r="AN6" s="17">
        <f t="shared" si="4"/>
        <v>58.52397048</v>
      </c>
      <c r="AO6" s="17">
        <f t="shared" si="4"/>
        <v>58.52397048</v>
      </c>
      <c r="AP6" s="17">
        <f t="shared" si="4"/>
        <v>58.52397048</v>
      </c>
      <c r="AQ6" s="17">
        <f t="shared" si="4"/>
        <v>58.52397048</v>
      </c>
      <c r="AR6" s="17">
        <f t="shared" si="4"/>
        <v>58.52397048</v>
      </c>
      <c r="AS6" s="17">
        <f t="shared" si="4"/>
        <v>58.52397048</v>
      </c>
      <c r="AT6" s="17">
        <f t="shared" si="4"/>
        <v>58.52397048</v>
      </c>
      <c r="AU6" s="17">
        <f t="shared" si="4"/>
        <v>58.52397048</v>
      </c>
      <c r="AV6" s="17">
        <f t="shared" si="4"/>
        <v>58.52397048</v>
      </c>
      <c r="AW6" s="17">
        <f t="shared" si="4"/>
        <v>58.52397048</v>
      </c>
      <c r="AX6" s="18">
        <f t="shared" ref="AX6:AY6" si="5">IF(AX8&gt;0,AX5/AX8,0)</f>
        <v>33.28860102</v>
      </c>
      <c r="AY6" s="19">
        <f t="shared" si="5"/>
        <v>44.00082398</v>
      </c>
    </row>
    <row r="7">
      <c r="A7" s="12" t="s">
        <v>17</v>
      </c>
      <c r="B7" s="20">
        <v>0.36</v>
      </c>
      <c r="C7" s="21">
        <v>-0.4</v>
      </c>
      <c r="D7" s="21">
        <v>0.0</v>
      </c>
      <c r="E7" s="21">
        <v>0.5</v>
      </c>
      <c r="F7" s="21">
        <v>0.2</v>
      </c>
      <c r="G7" s="21">
        <v>0.15</v>
      </c>
      <c r="H7" s="21">
        <v>-0.15</v>
      </c>
      <c r="I7" s="21">
        <v>-0.2</v>
      </c>
      <c r="J7" s="21">
        <v>-0.25</v>
      </c>
      <c r="K7" s="22">
        <f>AVERAGE(B7:J7)</f>
        <v>0.02333333333</v>
      </c>
      <c r="L7" s="23">
        <f>J7</f>
        <v>-0.25</v>
      </c>
      <c r="M7" s="23">
        <f>L7</f>
        <v>-0.25</v>
      </c>
      <c r="N7" s="21">
        <v>-0.1</v>
      </c>
      <c r="O7" s="21">
        <v>-0.1</v>
      </c>
      <c r="P7" s="21">
        <v>-0.1</v>
      </c>
      <c r="Q7" s="21">
        <v>0.0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2">
        <f>AVERAGE(L7:W7)</f>
        <v>-0.06666666667</v>
      </c>
      <c r="Y7" s="21">
        <v>0.0</v>
      </c>
      <c r="Z7" s="21">
        <v>0.0</v>
      </c>
      <c r="AA7" s="21">
        <v>0.0</v>
      </c>
      <c r="AB7" s="21">
        <v>0.0</v>
      </c>
      <c r="AC7" s="21">
        <v>0.0</v>
      </c>
      <c r="AD7" s="21">
        <v>0.0</v>
      </c>
      <c r="AE7" s="21">
        <v>0.0</v>
      </c>
      <c r="AF7" s="21">
        <v>0.0</v>
      </c>
      <c r="AG7" s="21">
        <v>0.0</v>
      </c>
      <c r="AH7" s="21">
        <v>0.0</v>
      </c>
      <c r="AI7" s="21">
        <v>0.0</v>
      </c>
      <c r="AJ7" s="21">
        <v>0.0</v>
      </c>
      <c r="AK7" s="22">
        <f>AVERAGE(Y7:AJ7)</f>
        <v>0</v>
      </c>
      <c r="AL7" s="21">
        <v>0.0</v>
      </c>
      <c r="AM7" s="21">
        <v>0.0</v>
      </c>
      <c r="AN7" s="21">
        <v>0.0</v>
      </c>
      <c r="AO7" s="21">
        <v>0.0</v>
      </c>
      <c r="AP7" s="21">
        <v>0.0</v>
      </c>
      <c r="AQ7" s="21">
        <v>0.0</v>
      </c>
      <c r="AR7" s="21">
        <v>0.0</v>
      </c>
      <c r="AS7" s="21">
        <v>0.0</v>
      </c>
      <c r="AT7" s="21">
        <v>0.0</v>
      </c>
      <c r="AU7" s="21">
        <v>0.0</v>
      </c>
      <c r="AV7" s="21">
        <v>0.0</v>
      </c>
      <c r="AW7" s="21">
        <v>0.0</v>
      </c>
      <c r="AX7" s="22">
        <f>AVERAGE(AL7:AW7)</f>
        <v>0</v>
      </c>
      <c r="AY7" s="24" t="s">
        <v>18</v>
      </c>
    </row>
    <row r="8">
      <c r="A8" s="12" t="s">
        <v>19</v>
      </c>
      <c r="B8" s="25">
        <f>ROUND(B5/B6,0)+B9</f>
        <v>4369</v>
      </c>
      <c r="C8" s="25">
        <f t="shared" ref="C8:J8" si="6">ROUND(C5/C6*IF(AND($E$76&lt;&gt;"",C3&gt;=$E$76),1+$C$76,1)*IF(AND($E$78&lt;&gt;"",C3&gt;=$E$78),1+$C$78,1),0)+C9</f>
        <v>3216</v>
      </c>
      <c r="D8" s="25">
        <f t="shared" si="6"/>
        <v>6343</v>
      </c>
      <c r="E8" s="25">
        <f t="shared" si="6"/>
        <v>6876</v>
      </c>
      <c r="F8" s="25">
        <f t="shared" si="6"/>
        <v>5295</v>
      </c>
      <c r="G8" s="25">
        <f t="shared" si="6"/>
        <v>5756</v>
      </c>
      <c r="H8" s="25">
        <f t="shared" si="6"/>
        <v>6457</v>
      </c>
      <c r="I8" s="25">
        <f t="shared" si="6"/>
        <v>7158.7</v>
      </c>
      <c r="J8" s="25">
        <f t="shared" si="6"/>
        <v>8222.181</v>
      </c>
      <c r="K8" s="14">
        <f t="shared" ref="K8:K9" si="12">SUM(B8:J8)</f>
        <v>53692.881</v>
      </c>
      <c r="L8" s="25">
        <f t="shared" ref="L8:W8" si="7">ROUND(L5/L6*IF(AND($E$76&lt;&gt;"",L3&gt;=$E$76),1+$C$76,1)*IF(AND($E$78&lt;&gt;"",L3&gt;=$E$78),1+$C$78,1),0)+L9</f>
        <v>10313.52643</v>
      </c>
      <c r="M8" s="25">
        <f t="shared" si="7"/>
        <v>12726.82222</v>
      </c>
      <c r="N8" s="25">
        <f t="shared" si="7"/>
        <v>15914.15689</v>
      </c>
      <c r="O8" s="25">
        <f t="shared" si="7"/>
        <v>17391.6216</v>
      </c>
      <c r="P8" s="25">
        <f t="shared" si="7"/>
        <v>19025.31024</v>
      </c>
      <c r="Q8" s="25">
        <f t="shared" si="7"/>
        <v>20830.31955</v>
      </c>
      <c r="R8" s="25">
        <f t="shared" si="7"/>
        <v>20947.74914</v>
      </c>
      <c r="S8" s="25">
        <f t="shared" si="7"/>
        <v>21068.70161</v>
      </c>
      <c r="T8" s="25">
        <f t="shared" si="7"/>
        <v>21193.28266</v>
      </c>
      <c r="U8" s="25">
        <f t="shared" si="7"/>
        <v>21321.60114</v>
      </c>
      <c r="V8" s="25">
        <f t="shared" si="7"/>
        <v>21453.76917</v>
      </c>
      <c r="W8" s="25">
        <f t="shared" si="7"/>
        <v>21589.90225</v>
      </c>
      <c r="X8" s="14">
        <f t="shared" ref="X8:X9" si="14">SUM(L8:W8)</f>
        <v>223776.7629</v>
      </c>
      <c r="Y8" s="25">
        <f t="shared" ref="Y8:AJ8" si="8">ROUND(Y5/Y6*IF(AND($E$76&lt;&gt;"",Y3&gt;=$E$76),1+$C$76,1)*IF(AND($E$78&lt;&gt;"",Y3&gt;=$E$78),1+$C$78,1),0)+Y9</f>
        <v>21730.11932</v>
      </c>
      <c r="Z8" s="25">
        <f t="shared" si="8"/>
        <v>21874.5429</v>
      </c>
      <c r="AA8" s="25">
        <f t="shared" si="8"/>
        <v>22023.29918</v>
      </c>
      <c r="AB8" s="25">
        <f t="shared" si="8"/>
        <v>22176.51816</v>
      </c>
      <c r="AC8" s="25">
        <f t="shared" si="8"/>
        <v>22334.3337</v>
      </c>
      <c r="AD8" s="25">
        <f t="shared" si="8"/>
        <v>22496.88372</v>
      </c>
      <c r="AE8" s="25">
        <f t="shared" si="8"/>
        <v>22664.31023</v>
      </c>
      <c r="AF8" s="25">
        <f t="shared" si="8"/>
        <v>22836.75953</v>
      </c>
      <c r="AG8" s="25">
        <f t="shared" si="8"/>
        <v>23014.38232</v>
      </c>
      <c r="AH8" s="25">
        <f t="shared" si="8"/>
        <v>23197.33379</v>
      </c>
      <c r="AI8" s="25">
        <f t="shared" si="8"/>
        <v>23385.7738</v>
      </c>
      <c r="AJ8" s="25">
        <f t="shared" si="8"/>
        <v>23579.86702</v>
      </c>
      <c r="AK8" s="14">
        <f t="shared" ref="AK8:AK9" si="16">SUM(Y8:AJ8)</f>
        <v>271314.1237</v>
      </c>
      <c r="AL8" s="25">
        <f t="shared" ref="AL8:AW8" si="9">ROUND(AL5/AL6*IF(AND($E$76&lt;&gt;"",AL3&gt;=$E$76),1+$C$76,1)*IF(AND($E$78&lt;&gt;"",AL3&gt;=$E$78),1+$C$78,1),0)+AL9</f>
        <v>23779.78303</v>
      </c>
      <c r="AM8" s="25">
        <f t="shared" si="9"/>
        <v>23985.69652</v>
      </c>
      <c r="AN8" s="25">
        <f t="shared" si="9"/>
        <v>24197.78741</v>
      </c>
      <c r="AO8" s="25">
        <f t="shared" si="9"/>
        <v>24416.24104</v>
      </c>
      <c r="AP8" s="25">
        <f t="shared" si="9"/>
        <v>24641.24827</v>
      </c>
      <c r="AQ8" s="25">
        <f t="shared" si="9"/>
        <v>24873.00572</v>
      </c>
      <c r="AR8" s="25">
        <f t="shared" si="9"/>
        <v>25111.71589</v>
      </c>
      <c r="AS8" s="25">
        <f t="shared" si="9"/>
        <v>25357.58736</v>
      </c>
      <c r="AT8" s="25">
        <f t="shared" si="9"/>
        <v>25610.83498</v>
      </c>
      <c r="AU8" s="25">
        <f t="shared" si="9"/>
        <v>25871.68003</v>
      </c>
      <c r="AV8" s="25">
        <f t="shared" si="9"/>
        <v>26140.35043</v>
      </c>
      <c r="AW8" s="25">
        <f t="shared" si="9"/>
        <v>26417.08095</v>
      </c>
      <c r="AX8" s="14">
        <f t="shared" ref="AX8:AX9" si="18">SUM(AL8:AW8)</f>
        <v>300403.0116</v>
      </c>
      <c r="AY8" s="15">
        <f t="shared" ref="AY8:AY9" si="19">K8+X8+AK8+AX8</f>
        <v>849186.7792</v>
      </c>
    </row>
    <row r="9">
      <c r="A9" s="26" t="s">
        <v>20</v>
      </c>
      <c r="B9" s="27" t="str">
        <f>IF($E$80&lt;&gt;"",IF(AND($C$80&lt;&gt;"",B3&gt;=$E$80),$C$80,""),"")</f>
        <v/>
      </c>
      <c r="C9" s="27" t="str">
        <f t="shared" ref="C9:D9" si="10">IF($E$80&lt;&gt;"",IF(AND($C$80&lt;&gt;"",C3&gt;=$E$80),IF(B3&gt;=$E$80,B9*(1+B10),$C$80),""),"")</f>
        <v/>
      </c>
      <c r="D9" s="27">
        <f t="shared" si="10"/>
        <v>1000</v>
      </c>
      <c r="E9" s="28">
        <v>1500.0</v>
      </c>
      <c r="F9" s="28">
        <v>2000.0</v>
      </c>
      <c r="G9" s="28">
        <v>3000.0</v>
      </c>
      <c r="H9" s="27">
        <f t="shared" ref="H9:J9" si="11">IF($E$80&lt;&gt;"",IF(AND($C$80&lt;&gt;"",H3&gt;=$E$80),IF(G3&gt;=$E$80,G9*(1+G10),$C$80),""),"")</f>
        <v>3090</v>
      </c>
      <c r="I9" s="27">
        <f t="shared" si="11"/>
        <v>3182.7</v>
      </c>
      <c r="J9" s="27">
        <f t="shared" si="11"/>
        <v>3278.181</v>
      </c>
      <c r="K9" s="14">
        <f t="shared" si="12"/>
        <v>17050.881</v>
      </c>
      <c r="L9" s="27">
        <f>IF($E$80&lt;&gt;"",IF(AND($C$80&lt;&gt;"",L3&gt;=$E$80),IF(J3&gt;=$E$80,J9*(1+J10),$C$80),""),"")</f>
        <v>3376.52643</v>
      </c>
      <c r="M9" s="27">
        <f t="shared" ref="M9:W9" si="13">IF($E$80&lt;&gt;"",IF(AND($C$80&lt;&gt;"",M3&gt;=$E$80),IF(L3&gt;=$E$80,L9*(1+L10),$C$80),""),"")</f>
        <v>3477.822223</v>
      </c>
      <c r="N9" s="27">
        <f t="shared" si="13"/>
        <v>3582.15689</v>
      </c>
      <c r="O9" s="27">
        <f t="shared" si="13"/>
        <v>3689.621596</v>
      </c>
      <c r="P9" s="27">
        <f t="shared" si="13"/>
        <v>3800.310244</v>
      </c>
      <c r="Q9" s="27">
        <f t="shared" si="13"/>
        <v>3914.319551</v>
      </c>
      <c r="R9" s="27">
        <f t="shared" si="13"/>
        <v>4031.749138</v>
      </c>
      <c r="S9" s="27">
        <f t="shared" si="13"/>
        <v>4152.701612</v>
      </c>
      <c r="T9" s="27">
        <f t="shared" si="13"/>
        <v>4277.282661</v>
      </c>
      <c r="U9" s="27">
        <f t="shared" si="13"/>
        <v>4405.60114</v>
      </c>
      <c r="V9" s="27">
        <f t="shared" si="13"/>
        <v>4537.769175</v>
      </c>
      <c r="W9" s="27">
        <f t="shared" si="13"/>
        <v>4673.90225</v>
      </c>
      <c r="X9" s="29">
        <f t="shared" si="14"/>
        <v>47919.76291</v>
      </c>
      <c r="Y9" s="27">
        <f>IF($E$80&lt;&gt;"",IF(AND($C$80&lt;&gt;"",Y3&gt;=$E$80),IF(W3&gt;=$E$80,W9*(1+W10),$C$80),""),"")</f>
        <v>4814.119317</v>
      </c>
      <c r="Z9" s="27">
        <f t="shared" ref="Z9:AJ9" si="15">IF($E$80&lt;&gt;"",IF(AND($C$80&lt;&gt;"",Z3&gt;=$E$80),IF(Y3&gt;=$E$80,Y9*(1+Y10),$C$80),""),"")</f>
        <v>4958.542897</v>
      </c>
      <c r="AA9" s="27">
        <f t="shared" si="15"/>
        <v>5107.299184</v>
      </c>
      <c r="AB9" s="27">
        <f t="shared" si="15"/>
        <v>5260.518159</v>
      </c>
      <c r="AC9" s="27">
        <f t="shared" si="15"/>
        <v>5418.333704</v>
      </c>
      <c r="AD9" s="27">
        <f t="shared" si="15"/>
        <v>5580.883715</v>
      </c>
      <c r="AE9" s="27">
        <f t="shared" si="15"/>
        <v>5748.310227</v>
      </c>
      <c r="AF9" s="27">
        <f t="shared" si="15"/>
        <v>5920.759533</v>
      </c>
      <c r="AG9" s="27">
        <f t="shared" si="15"/>
        <v>6098.382319</v>
      </c>
      <c r="AH9" s="27">
        <f t="shared" si="15"/>
        <v>6281.333789</v>
      </c>
      <c r="AI9" s="27">
        <f t="shared" si="15"/>
        <v>6469.773803</v>
      </c>
      <c r="AJ9" s="27">
        <f t="shared" si="15"/>
        <v>6663.867017</v>
      </c>
      <c r="AK9" s="29">
        <f t="shared" si="16"/>
        <v>68322.12366</v>
      </c>
      <c r="AL9" s="27">
        <f>IF($E$80&lt;&gt;"",IF(AND($C$80&lt;&gt;"",AL3&gt;=$E$80),IF(AJ3&gt;=$E$80,AJ9*(1+AJ10),$C$80),""),"")</f>
        <v>6863.783027</v>
      </c>
      <c r="AM9" s="27">
        <f t="shared" ref="AM9:AW9" si="17">IF($E$80&lt;&gt;"",IF(AND($C$80&lt;&gt;"",AM3&gt;=$E$80),IF(AL3&gt;=$E$80,AL9*(1+AL10),$C$80),""),"")</f>
        <v>7069.696518</v>
      </c>
      <c r="AN9" s="27">
        <f t="shared" si="17"/>
        <v>7281.787414</v>
      </c>
      <c r="AO9" s="27">
        <f t="shared" si="17"/>
        <v>7500.241036</v>
      </c>
      <c r="AP9" s="27">
        <f t="shared" si="17"/>
        <v>7725.248267</v>
      </c>
      <c r="AQ9" s="27">
        <f t="shared" si="17"/>
        <v>7957.005715</v>
      </c>
      <c r="AR9" s="27">
        <f t="shared" si="17"/>
        <v>8195.715887</v>
      </c>
      <c r="AS9" s="27">
        <f t="shared" si="17"/>
        <v>8441.587363</v>
      </c>
      <c r="AT9" s="27">
        <f t="shared" si="17"/>
        <v>8694.834984</v>
      </c>
      <c r="AU9" s="27">
        <f t="shared" si="17"/>
        <v>8955.680034</v>
      </c>
      <c r="AV9" s="27">
        <f t="shared" si="17"/>
        <v>9224.350435</v>
      </c>
      <c r="AW9" s="27">
        <f t="shared" si="17"/>
        <v>9501.080948</v>
      </c>
      <c r="AX9" s="29">
        <f t="shared" si="18"/>
        <v>97411.01163</v>
      </c>
      <c r="AY9" s="29">
        <f t="shared" si="19"/>
        <v>230703.7792</v>
      </c>
    </row>
    <row r="10">
      <c r="A10" s="12" t="s">
        <v>21</v>
      </c>
      <c r="B10" s="30" t="str">
        <f>IF(AND($E$80&lt;&gt;"",B3&gt;=$E$80),0.05,"")</f>
        <v/>
      </c>
      <c r="C10" s="23" t="str">
        <f t="shared" ref="C10:D10" si="20">IF(AND($E$80&lt;&gt;"",C3&gt;=$E$80),IF(B10&lt;&gt;"",B10,0.05),"")</f>
        <v/>
      </c>
      <c r="D10" s="23">
        <f t="shared" si="20"/>
        <v>0.05</v>
      </c>
      <c r="E10" s="21">
        <v>0.03</v>
      </c>
      <c r="F10" s="23">
        <f t="shared" ref="F10:J10" si="21">IF(AND($E$80&lt;&gt;"",F3&gt;=$E$80),IF(E10&lt;&gt;"",E10,0.05),"")</f>
        <v>0.03</v>
      </c>
      <c r="G10" s="23">
        <f t="shared" si="21"/>
        <v>0.03</v>
      </c>
      <c r="H10" s="23">
        <f t="shared" si="21"/>
        <v>0.03</v>
      </c>
      <c r="I10" s="23">
        <f t="shared" si="21"/>
        <v>0.03</v>
      </c>
      <c r="J10" s="23">
        <f t="shared" si="21"/>
        <v>0.03</v>
      </c>
      <c r="K10" s="22">
        <f>IFERROR(AVERAGE(B10:J10),"")</f>
        <v>0.03285714286</v>
      </c>
      <c r="L10" s="23">
        <f>IF(AND($E$80&lt;&gt;"",L3&gt;=$E$80),IF(J10&lt;&gt;"",J10,0.05),"")</f>
        <v>0.03</v>
      </c>
      <c r="M10" s="23">
        <f t="shared" ref="M10:W10" si="22">IF(AND($E$80&lt;&gt;"",M3&gt;=$E$80),IF(L10&lt;&gt;"",L10,0.05),"")</f>
        <v>0.03</v>
      </c>
      <c r="N10" s="21">
        <f t="shared" si="22"/>
        <v>0.03</v>
      </c>
      <c r="O10" s="21">
        <f t="shared" si="22"/>
        <v>0.03</v>
      </c>
      <c r="P10" s="21">
        <f t="shared" si="22"/>
        <v>0.03</v>
      </c>
      <c r="Q10" s="21">
        <f t="shared" si="22"/>
        <v>0.03</v>
      </c>
      <c r="R10" s="21">
        <f t="shared" si="22"/>
        <v>0.03</v>
      </c>
      <c r="S10" s="21">
        <f t="shared" si="22"/>
        <v>0.03</v>
      </c>
      <c r="T10" s="21">
        <f t="shared" si="22"/>
        <v>0.03</v>
      </c>
      <c r="U10" s="21">
        <f t="shared" si="22"/>
        <v>0.03</v>
      </c>
      <c r="V10" s="21">
        <f t="shared" si="22"/>
        <v>0.03</v>
      </c>
      <c r="W10" s="21">
        <f t="shared" si="22"/>
        <v>0.03</v>
      </c>
      <c r="X10" s="22">
        <f>IFERROR(AVERAGE(L10:W10),"")</f>
        <v>0.03</v>
      </c>
      <c r="Y10" s="21">
        <f>IF(AND($E$80&lt;&gt;"",Y3&gt;=$E$80),IF(W10&lt;&gt;"",W10,0.05),"")</f>
        <v>0.03</v>
      </c>
      <c r="Z10" s="21">
        <f t="shared" ref="Z10:AJ10" si="23">IF(AND($E$80&lt;&gt;"",Z3&gt;=$E$80),IF(Y10&lt;&gt;"",Y10,0.05),"")</f>
        <v>0.03</v>
      </c>
      <c r="AA10" s="21">
        <f t="shared" si="23"/>
        <v>0.03</v>
      </c>
      <c r="AB10" s="21">
        <f t="shared" si="23"/>
        <v>0.03</v>
      </c>
      <c r="AC10" s="21">
        <f t="shared" si="23"/>
        <v>0.03</v>
      </c>
      <c r="AD10" s="21">
        <f t="shared" si="23"/>
        <v>0.03</v>
      </c>
      <c r="AE10" s="21">
        <f t="shared" si="23"/>
        <v>0.03</v>
      </c>
      <c r="AF10" s="21">
        <f t="shared" si="23"/>
        <v>0.03</v>
      </c>
      <c r="AG10" s="21">
        <f t="shared" si="23"/>
        <v>0.03</v>
      </c>
      <c r="AH10" s="21">
        <f t="shared" si="23"/>
        <v>0.03</v>
      </c>
      <c r="AI10" s="21">
        <f t="shared" si="23"/>
        <v>0.03</v>
      </c>
      <c r="AJ10" s="21">
        <f t="shared" si="23"/>
        <v>0.03</v>
      </c>
      <c r="AK10" s="22">
        <f>IFERROR(AVERAGE(Y10:AJ10),"")</f>
        <v>0.03</v>
      </c>
      <c r="AL10" s="21">
        <f>IF(AND($E$80&lt;&gt;"",AL3&gt;=$E$80),IF(AJ10&lt;&gt;"",AJ10,0.05),"")</f>
        <v>0.03</v>
      </c>
      <c r="AM10" s="21">
        <f t="shared" ref="AM10:AW10" si="24">IF(AND($E$80&lt;&gt;"",AM3&gt;=$E$80),IF(AL10&lt;&gt;"",AL10,0.05),"")</f>
        <v>0.03</v>
      </c>
      <c r="AN10" s="21">
        <f t="shared" si="24"/>
        <v>0.03</v>
      </c>
      <c r="AO10" s="21">
        <f t="shared" si="24"/>
        <v>0.03</v>
      </c>
      <c r="AP10" s="21">
        <f t="shared" si="24"/>
        <v>0.03</v>
      </c>
      <c r="AQ10" s="21">
        <f t="shared" si="24"/>
        <v>0.03</v>
      </c>
      <c r="AR10" s="21">
        <f t="shared" si="24"/>
        <v>0.03</v>
      </c>
      <c r="AS10" s="21">
        <f t="shared" si="24"/>
        <v>0.03</v>
      </c>
      <c r="AT10" s="21">
        <f t="shared" si="24"/>
        <v>0.03</v>
      </c>
      <c r="AU10" s="21">
        <f t="shared" si="24"/>
        <v>0.03</v>
      </c>
      <c r="AV10" s="21">
        <f t="shared" si="24"/>
        <v>0.03</v>
      </c>
      <c r="AW10" s="21">
        <f t="shared" si="24"/>
        <v>0.03</v>
      </c>
      <c r="AX10" s="22">
        <f>IFERROR(AVERAGE(AL10:AW10),"")</f>
        <v>0.03</v>
      </c>
      <c r="AY10" s="24">
        <f>IFERROR(AVERAGE(K10,X10,AK10,AX10),"")</f>
        <v>0.03071428571</v>
      </c>
    </row>
    <row r="11">
      <c r="A11" s="6"/>
      <c r="B11" s="17"/>
      <c r="C11" s="17"/>
      <c r="D11" s="17"/>
      <c r="E11" s="17"/>
      <c r="F11" s="17"/>
      <c r="G11" s="17"/>
      <c r="H11" s="17"/>
      <c r="I11" s="17"/>
      <c r="J11" s="17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3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3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3"/>
      <c r="AY11" s="33"/>
    </row>
    <row r="12">
      <c r="A12" s="10" t="s">
        <v>22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>
      <c r="A13" s="12" t="s">
        <v>23</v>
      </c>
      <c r="B13" s="34">
        <v>1.0</v>
      </c>
      <c r="C13" s="35">
        <f t="shared" ref="C13:J13" si="25">B13*(1+B14)</f>
        <v>0.85</v>
      </c>
      <c r="D13" s="35">
        <f t="shared" si="25"/>
        <v>0.85</v>
      </c>
      <c r="E13" s="35">
        <f t="shared" si="25"/>
        <v>0.85</v>
      </c>
      <c r="F13" s="35">
        <f t="shared" si="25"/>
        <v>0.85</v>
      </c>
      <c r="G13" s="35">
        <f t="shared" si="25"/>
        <v>0.85</v>
      </c>
      <c r="H13" s="35">
        <f t="shared" si="25"/>
        <v>0.85</v>
      </c>
      <c r="I13" s="35">
        <f t="shared" si="25"/>
        <v>0.85</v>
      </c>
      <c r="J13" s="35">
        <f t="shared" si="25"/>
        <v>0.85</v>
      </c>
      <c r="K13" s="36">
        <f t="shared" ref="K13:K20" si="30">AVERAGE(B13:J13)</f>
        <v>0.8666666667</v>
      </c>
      <c r="L13" s="35">
        <f>J13*(1+J14)</f>
        <v>0.85</v>
      </c>
      <c r="M13" s="35">
        <f t="shared" ref="M13:W13" si="26">L13*(1+L14)</f>
        <v>0.85</v>
      </c>
      <c r="N13" s="35">
        <f t="shared" si="26"/>
        <v>0.85</v>
      </c>
      <c r="O13" s="35">
        <f t="shared" si="26"/>
        <v>0.85</v>
      </c>
      <c r="P13" s="35">
        <f t="shared" si="26"/>
        <v>0.85</v>
      </c>
      <c r="Q13" s="35">
        <f t="shared" si="26"/>
        <v>0.85</v>
      </c>
      <c r="R13" s="35">
        <f t="shared" si="26"/>
        <v>0.85</v>
      </c>
      <c r="S13" s="35">
        <f t="shared" si="26"/>
        <v>0.85</v>
      </c>
      <c r="T13" s="35">
        <f t="shared" si="26"/>
        <v>0.85</v>
      </c>
      <c r="U13" s="35">
        <f t="shared" si="26"/>
        <v>0.85</v>
      </c>
      <c r="V13" s="35">
        <f t="shared" si="26"/>
        <v>0.85</v>
      </c>
      <c r="W13" s="35">
        <f t="shared" si="26"/>
        <v>0.85</v>
      </c>
      <c r="X13" s="36">
        <f t="shared" ref="X13:X20" si="32">AVERAGE(L13:W13)</f>
        <v>0.85</v>
      </c>
      <c r="Y13" s="35">
        <f>W13*(1+W14)</f>
        <v>0.85</v>
      </c>
      <c r="Z13" s="35">
        <f t="shared" ref="Z13:AJ13" si="27">Y13*(1+Y14)</f>
        <v>0.85</v>
      </c>
      <c r="AA13" s="35">
        <f t="shared" si="27"/>
        <v>0.85</v>
      </c>
      <c r="AB13" s="35">
        <f t="shared" si="27"/>
        <v>0.85</v>
      </c>
      <c r="AC13" s="35">
        <f t="shared" si="27"/>
        <v>0.85</v>
      </c>
      <c r="AD13" s="35">
        <f t="shared" si="27"/>
        <v>0.85</v>
      </c>
      <c r="AE13" s="35">
        <f t="shared" si="27"/>
        <v>0.85</v>
      </c>
      <c r="AF13" s="35">
        <f t="shared" si="27"/>
        <v>0.85</v>
      </c>
      <c r="AG13" s="35">
        <f t="shared" si="27"/>
        <v>0.85</v>
      </c>
      <c r="AH13" s="35">
        <f t="shared" si="27"/>
        <v>0.85</v>
      </c>
      <c r="AI13" s="35">
        <f t="shared" si="27"/>
        <v>0.85</v>
      </c>
      <c r="AJ13" s="35">
        <f t="shared" si="27"/>
        <v>0.85</v>
      </c>
      <c r="AK13" s="36">
        <f t="shared" ref="AK13:AK20" si="34">AVERAGE(Y13:AJ13)</f>
        <v>0.85</v>
      </c>
      <c r="AL13" s="35">
        <f>AJ13*(1+AJ14)</f>
        <v>0.85</v>
      </c>
      <c r="AM13" s="35">
        <f t="shared" ref="AM13:AW13" si="28">AL13*(1+AL14)</f>
        <v>0.85</v>
      </c>
      <c r="AN13" s="35">
        <f t="shared" si="28"/>
        <v>0.85</v>
      </c>
      <c r="AO13" s="35">
        <f t="shared" si="28"/>
        <v>0.85</v>
      </c>
      <c r="AP13" s="35">
        <f t="shared" si="28"/>
        <v>0.85</v>
      </c>
      <c r="AQ13" s="35">
        <f t="shared" si="28"/>
        <v>0.85</v>
      </c>
      <c r="AR13" s="35">
        <f t="shared" si="28"/>
        <v>0.85</v>
      </c>
      <c r="AS13" s="35">
        <f t="shared" si="28"/>
        <v>0.85</v>
      </c>
      <c r="AT13" s="35">
        <f t="shared" si="28"/>
        <v>0.85</v>
      </c>
      <c r="AU13" s="35">
        <f t="shared" si="28"/>
        <v>0.85</v>
      </c>
      <c r="AV13" s="35">
        <f t="shared" si="28"/>
        <v>0.85</v>
      </c>
      <c r="AW13" s="35">
        <f t="shared" si="28"/>
        <v>0.85</v>
      </c>
      <c r="AX13" s="36">
        <f t="shared" ref="AX13:AX20" si="36">AVERAGE(AL13:AW13)</f>
        <v>0.85</v>
      </c>
      <c r="AY13" s="37">
        <f>AVERAGE(K13,X13,AK13,AX13)</f>
        <v>0.8541666667</v>
      </c>
    </row>
    <row r="14">
      <c r="A14" s="38" t="s">
        <v>24</v>
      </c>
      <c r="B14" s="20">
        <v>-0.15</v>
      </c>
      <c r="C14" s="21">
        <v>0.0</v>
      </c>
      <c r="D14" s="23">
        <f t="shared" ref="D14:J14" si="29">C14</f>
        <v>0</v>
      </c>
      <c r="E14" s="23">
        <f t="shared" si="29"/>
        <v>0</v>
      </c>
      <c r="F14" s="23">
        <f t="shared" si="29"/>
        <v>0</v>
      </c>
      <c r="G14" s="23">
        <f t="shared" si="29"/>
        <v>0</v>
      </c>
      <c r="H14" s="23">
        <f t="shared" si="29"/>
        <v>0</v>
      </c>
      <c r="I14" s="23">
        <f t="shared" si="29"/>
        <v>0</v>
      </c>
      <c r="J14" s="23">
        <f t="shared" si="29"/>
        <v>0</v>
      </c>
      <c r="K14" s="22">
        <f t="shared" si="30"/>
        <v>-0.01666666667</v>
      </c>
      <c r="L14" s="23">
        <f>J14</f>
        <v>0</v>
      </c>
      <c r="M14" s="23">
        <f t="shared" ref="M14:W14" si="31">L14</f>
        <v>0</v>
      </c>
      <c r="N14" s="23">
        <f t="shared" si="31"/>
        <v>0</v>
      </c>
      <c r="O14" s="23">
        <f t="shared" si="31"/>
        <v>0</v>
      </c>
      <c r="P14" s="23">
        <f t="shared" si="31"/>
        <v>0</v>
      </c>
      <c r="Q14" s="23">
        <f t="shared" si="31"/>
        <v>0</v>
      </c>
      <c r="R14" s="23">
        <f t="shared" si="31"/>
        <v>0</v>
      </c>
      <c r="S14" s="23">
        <f t="shared" si="31"/>
        <v>0</v>
      </c>
      <c r="T14" s="23">
        <f t="shared" si="31"/>
        <v>0</v>
      </c>
      <c r="U14" s="23">
        <f t="shared" si="31"/>
        <v>0</v>
      </c>
      <c r="V14" s="23">
        <f t="shared" si="31"/>
        <v>0</v>
      </c>
      <c r="W14" s="23">
        <f t="shared" si="31"/>
        <v>0</v>
      </c>
      <c r="X14" s="22">
        <f t="shared" si="32"/>
        <v>0</v>
      </c>
      <c r="Y14" s="23">
        <f>W14</f>
        <v>0</v>
      </c>
      <c r="Z14" s="23">
        <f t="shared" ref="Z14:AJ14" si="33">Y14</f>
        <v>0</v>
      </c>
      <c r="AA14" s="23">
        <f t="shared" si="33"/>
        <v>0</v>
      </c>
      <c r="AB14" s="23">
        <f t="shared" si="33"/>
        <v>0</v>
      </c>
      <c r="AC14" s="23">
        <f t="shared" si="33"/>
        <v>0</v>
      </c>
      <c r="AD14" s="23">
        <f t="shared" si="33"/>
        <v>0</v>
      </c>
      <c r="AE14" s="23">
        <f t="shared" si="33"/>
        <v>0</v>
      </c>
      <c r="AF14" s="23">
        <f t="shared" si="33"/>
        <v>0</v>
      </c>
      <c r="AG14" s="23">
        <f t="shared" si="33"/>
        <v>0</v>
      </c>
      <c r="AH14" s="23">
        <f t="shared" si="33"/>
        <v>0</v>
      </c>
      <c r="AI14" s="23">
        <f t="shared" si="33"/>
        <v>0</v>
      </c>
      <c r="AJ14" s="23">
        <f t="shared" si="33"/>
        <v>0</v>
      </c>
      <c r="AK14" s="22">
        <f t="shared" si="34"/>
        <v>0</v>
      </c>
      <c r="AL14" s="23">
        <f>AJ14</f>
        <v>0</v>
      </c>
      <c r="AM14" s="23">
        <f t="shared" ref="AM14:AW14" si="35">AL14</f>
        <v>0</v>
      </c>
      <c r="AN14" s="23">
        <f t="shared" si="35"/>
        <v>0</v>
      </c>
      <c r="AO14" s="23">
        <f t="shared" si="35"/>
        <v>0</v>
      </c>
      <c r="AP14" s="23">
        <f t="shared" si="35"/>
        <v>0</v>
      </c>
      <c r="AQ14" s="23">
        <f t="shared" si="35"/>
        <v>0</v>
      </c>
      <c r="AR14" s="23">
        <f t="shared" si="35"/>
        <v>0</v>
      </c>
      <c r="AS14" s="23">
        <f t="shared" si="35"/>
        <v>0</v>
      </c>
      <c r="AT14" s="23">
        <f t="shared" si="35"/>
        <v>0</v>
      </c>
      <c r="AU14" s="23">
        <f t="shared" si="35"/>
        <v>0</v>
      </c>
      <c r="AV14" s="23">
        <f t="shared" si="35"/>
        <v>0</v>
      </c>
      <c r="AW14" s="23">
        <f t="shared" si="35"/>
        <v>0</v>
      </c>
      <c r="AX14" s="22">
        <f t="shared" si="36"/>
        <v>0</v>
      </c>
      <c r="AY14" s="24" t="s">
        <v>18</v>
      </c>
    </row>
    <row r="15">
      <c r="A15" s="12" t="s">
        <v>25</v>
      </c>
      <c r="B15" s="34">
        <v>0.207</v>
      </c>
      <c r="C15" s="35">
        <f t="shared" ref="C15:J15" si="37">B15*(1+B16)</f>
        <v>0.20907</v>
      </c>
      <c r="D15" s="35">
        <f t="shared" si="37"/>
        <v>0.2111607</v>
      </c>
      <c r="E15" s="35">
        <f t="shared" si="37"/>
        <v>0.221718735</v>
      </c>
      <c r="F15" s="35">
        <f t="shared" si="37"/>
        <v>0.2328046718</v>
      </c>
      <c r="G15" s="35">
        <f t="shared" si="37"/>
        <v>0.2444449053</v>
      </c>
      <c r="H15" s="35">
        <f t="shared" si="37"/>
        <v>0.2566671506</v>
      </c>
      <c r="I15" s="35">
        <f t="shared" si="37"/>
        <v>0.2695005081</v>
      </c>
      <c r="J15" s="35">
        <f t="shared" si="37"/>
        <v>0.2829755335</v>
      </c>
      <c r="K15" s="36">
        <f t="shared" si="30"/>
        <v>0.2372602449</v>
      </c>
      <c r="L15" s="35">
        <f>J15*(1+J16)</f>
        <v>0.2829755335</v>
      </c>
      <c r="M15" s="35">
        <f t="shared" ref="M15:W15" si="38">L15*(1+L16)</f>
        <v>0.2829755335</v>
      </c>
      <c r="N15" s="35">
        <f t="shared" si="38"/>
        <v>0.2829755335</v>
      </c>
      <c r="O15" s="35">
        <f t="shared" si="38"/>
        <v>0.2829755335</v>
      </c>
      <c r="P15" s="35">
        <f t="shared" si="38"/>
        <v>0.2829755335</v>
      </c>
      <c r="Q15" s="35">
        <f t="shared" si="38"/>
        <v>0.2829755335</v>
      </c>
      <c r="R15" s="35">
        <f t="shared" si="38"/>
        <v>0.2829755335</v>
      </c>
      <c r="S15" s="35">
        <f t="shared" si="38"/>
        <v>0.2829755335</v>
      </c>
      <c r="T15" s="35">
        <f t="shared" si="38"/>
        <v>0.2829755335</v>
      </c>
      <c r="U15" s="35">
        <f t="shared" si="38"/>
        <v>0.2829755335</v>
      </c>
      <c r="V15" s="35">
        <f t="shared" si="38"/>
        <v>0.2829755335</v>
      </c>
      <c r="W15" s="35">
        <f t="shared" si="38"/>
        <v>0.2829755335</v>
      </c>
      <c r="X15" s="36">
        <f t="shared" si="32"/>
        <v>0.2829755335</v>
      </c>
      <c r="Y15" s="35">
        <f>W15*(1+W16)</f>
        <v>0.2971243102</v>
      </c>
      <c r="Z15" s="35">
        <f t="shared" ref="Z15:AJ15" si="39">Y15*(1+Y16)</f>
        <v>0.3119805257</v>
      </c>
      <c r="AA15" s="35">
        <f t="shared" si="39"/>
        <v>0.327579552</v>
      </c>
      <c r="AB15" s="35">
        <f t="shared" si="39"/>
        <v>0.3439585296</v>
      </c>
      <c r="AC15" s="35">
        <f t="shared" si="39"/>
        <v>0.3611564561</v>
      </c>
      <c r="AD15" s="35">
        <f t="shared" si="39"/>
        <v>0.3792142789</v>
      </c>
      <c r="AE15" s="35">
        <f t="shared" si="39"/>
        <v>0.3981749928</v>
      </c>
      <c r="AF15" s="35">
        <f t="shared" si="39"/>
        <v>0.4180837425</v>
      </c>
      <c r="AG15" s="35">
        <f t="shared" si="39"/>
        <v>0.4389879296</v>
      </c>
      <c r="AH15" s="35">
        <f t="shared" si="39"/>
        <v>0.4389879296</v>
      </c>
      <c r="AI15" s="35">
        <f t="shared" si="39"/>
        <v>0.4389879296</v>
      </c>
      <c r="AJ15" s="35">
        <f t="shared" si="39"/>
        <v>0.4389879296</v>
      </c>
      <c r="AK15" s="36">
        <f t="shared" si="34"/>
        <v>0.3827686755</v>
      </c>
      <c r="AL15" s="35">
        <f>AJ15*(1+AJ16)</f>
        <v>0.4389879296</v>
      </c>
      <c r="AM15" s="35">
        <f t="shared" ref="AM15:AW15" si="40">AL15*(1+AL16)</f>
        <v>0.4389879296</v>
      </c>
      <c r="AN15" s="35">
        <f t="shared" si="40"/>
        <v>0.4389879296</v>
      </c>
      <c r="AO15" s="35">
        <f t="shared" si="40"/>
        <v>0.4389879296</v>
      </c>
      <c r="AP15" s="35">
        <f t="shared" si="40"/>
        <v>0.4389879296</v>
      </c>
      <c r="AQ15" s="35">
        <f t="shared" si="40"/>
        <v>0.4389879296</v>
      </c>
      <c r="AR15" s="35">
        <f t="shared" si="40"/>
        <v>0.4389879296</v>
      </c>
      <c r="AS15" s="35">
        <f t="shared" si="40"/>
        <v>0.4389879296</v>
      </c>
      <c r="AT15" s="35">
        <f t="shared" si="40"/>
        <v>0.4389879296</v>
      </c>
      <c r="AU15" s="35">
        <f t="shared" si="40"/>
        <v>0.4389879296</v>
      </c>
      <c r="AV15" s="35">
        <f t="shared" si="40"/>
        <v>0.4389879296</v>
      </c>
      <c r="AW15" s="35">
        <f t="shared" si="40"/>
        <v>0.4389879296</v>
      </c>
      <c r="AX15" s="36">
        <f t="shared" si="36"/>
        <v>0.4389879296</v>
      </c>
      <c r="AY15" s="37">
        <f>AVERAGE(K15,X15,AK15,AX15)</f>
        <v>0.3354980959</v>
      </c>
    </row>
    <row r="16">
      <c r="A16" s="38" t="s">
        <v>26</v>
      </c>
      <c r="B16" s="21">
        <v>0.01</v>
      </c>
      <c r="C16" s="21">
        <f>B16</f>
        <v>0.01</v>
      </c>
      <c r="D16" s="39">
        <v>0.05</v>
      </c>
      <c r="E16" s="39">
        <v>0.05</v>
      </c>
      <c r="F16" s="39">
        <v>0.05</v>
      </c>
      <c r="G16" s="39">
        <v>0.05</v>
      </c>
      <c r="H16" s="39">
        <v>0.05</v>
      </c>
      <c r="I16" s="39">
        <v>0.05</v>
      </c>
      <c r="J16" s="39">
        <v>0.0</v>
      </c>
      <c r="K16" s="40">
        <f t="shared" si="30"/>
        <v>0.03555555556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0.05</v>
      </c>
      <c r="X16" s="40">
        <f t="shared" si="32"/>
        <v>0.004166666667</v>
      </c>
      <c r="Y16" s="39">
        <f>W16</f>
        <v>0.05</v>
      </c>
      <c r="Z16" s="39">
        <f t="shared" ref="Z16:AF16" si="41">Y16</f>
        <v>0.05</v>
      </c>
      <c r="AA16" s="39">
        <f t="shared" si="41"/>
        <v>0.05</v>
      </c>
      <c r="AB16" s="39">
        <f t="shared" si="41"/>
        <v>0.05</v>
      </c>
      <c r="AC16" s="39">
        <f t="shared" si="41"/>
        <v>0.05</v>
      </c>
      <c r="AD16" s="39">
        <f t="shared" si="41"/>
        <v>0.05</v>
      </c>
      <c r="AE16" s="39">
        <f t="shared" si="41"/>
        <v>0.05</v>
      </c>
      <c r="AF16" s="39">
        <f t="shared" si="41"/>
        <v>0.05</v>
      </c>
      <c r="AG16" s="39">
        <v>0.0</v>
      </c>
      <c r="AH16" s="39">
        <f t="shared" ref="AH16:AJ16" si="42">AG16</f>
        <v>0</v>
      </c>
      <c r="AI16" s="39">
        <f t="shared" si="42"/>
        <v>0</v>
      </c>
      <c r="AJ16" s="39">
        <f t="shared" si="42"/>
        <v>0</v>
      </c>
      <c r="AK16" s="40">
        <f t="shared" si="34"/>
        <v>0.03333333333</v>
      </c>
      <c r="AL16" s="39">
        <f>AJ16</f>
        <v>0</v>
      </c>
      <c r="AM16" s="39">
        <f t="shared" ref="AM16:AW16" si="43">AL16</f>
        <v>0</v>
      </c>
      <c r="AN16" s="39">
        <f t="shared" si="43"/>
        <v>0</v>
      </c>
      <c r="AO16" s="39">
        <f t="shared" si="43"/>
        <v>0</v>
      </c>
      <c r="AP16" s="39">
        <f t="shared" si="43"/>
        <v>0</v>
      </c>
      <c r="AQ16" s="39">
        <f t="shared" si="43"/>
        <v>0</v>
      </c>
      <c r="AR16" s="39">
        <f t="shared" si="43"/>
        <v>0</v>
      </c>
      <c r="AS16" s="39">
        <f t="shared" si="43"/>
        <v>0</v>
      </c>
      <c r="AT16" s="39">
        <f t="shared" si="43"/>
        <v>0</v>
      </c>
      <c r="AU16" s="39">
        <f t="shared" si="43"/>
        <v>0</v>
      </c>
      <c r="AV16" s="39">
        <f t="shared" si="43"/>
        <v>0</v>
      </c>
      <c r="AW16" s="39">
        <f t="shared" si="43"/>
        <v>0</v>
      </c>
      <c r="AX16" s="40">
        <f t="shared" si="36"/>
        <v>0</v>
      </c>
      <c r="AY16" s="24" t="s">
        <v>18</v>
      </c>
    </row>
    <row r="17">
      <c r="A17" s="12" t="s">
        <v>27</v>
      </c>
      <c r="B17" s="34">
        <v>0.3</v>
      </c>
      <c r="C17" s="35">
        <f t="shared" ref="C17:J17" si="44">B17*(1+B18)</f>
        <v>0.303</v>
      </c>
      <c r="D17" s="35">
        <f t="shared" si="44"/>
        <v>0.30603</v>
      </c>
      <c r="E17" s="35">
        <f t="shared" si="44"/>
        <v>0.3081299779</v>
      </c>
      <c r="F17" s="35">
        <f t="shared" si="44"/>
        <v>0.3102443658</v>
      </c>
      <c r="G17" s="35">
        <f t="shared" si="44"/>
        <v>0.3123732626</v>
      </c>
      <c r="H17" s="35">
        <f t="shared" si="44"/>
        <v>0.3145167679</v>
      </c>
      <c r="I17" s="35">
        <f t="shared" si="44"/>
        <v>0.316674982</v>
      </c>
      <c r="J17" s="35">
        <f t="shared" si="44"/>
        <v>0.3188480057</v>
      </c>
      <c r="K17" s="36">
        <f t="shared" si="30"/>
        <v>0.3099797069</v>
      </c>
      <c r="L17" s="35">
        <f>J17*(1+J18)</f>
        <v>0.3210359407</v>
      </c>
      <c r="M17" s="35">
        <f t="shared" ref="M17:W17" si="45">L17*(1+L18)</f>
        <v>0.3232388894</v>
      </c>
      <c r="N17" s="35">
        <f t="shared" si="45"/>
        <v>0.3254569546</v>
      </c>
      <c r="O17" s="35">
        <f t="shared" si="45"/>
        <v>0.3276902402</v>
      </c>
      <c r="P17" s="35">
        <f t="shared" si="45"/>
        <v>0.3299388507</v>
      </c>
      <c r="Q17" s="35">
        <f t="shared" si="45"/>
        <v>0.3322028911</v>
      </c>
      <c r="R17" s="35">
        <f t="shared" si="45"/>
        <v>0.3344824673</v>
      </c>
      <c r="S17" s="35">
        <f t="shared" si="45"/>
        <v>0.336777686</v>
      </c>
      <c r="T17" s="35">
        <f t="shared" si="45"/>
        <v>0.3390886545</v>
      </c>
      <c r="U17" s="35">
        <f t="shared" si="45"/>
        <v>0.3414154808</v>
      </c>
      <c r="V17" s="35">
        <f t="shared" si="45"/>
        <v>0.3437582739</v>
      </c>
      <c r="W17" s="35">
        <f t="shared" si="45"/>
        <v>0.3461171431</v>
      </c>
      <c r="X17" s="36">
        <f t="shared" si="32"/>
        <v>0.3334336227</v>
      </c>
      <c r="Y17" s="35">
        <f>W17*(1+W18)</f>
        <v>0.3634230003</v>
      </c>
      <c r="Z17" s="35">
        <f t="shared" ref="Z17:AJ17" si="46">Y17*(1+Y18)</f>
        <v>0.3815941503</v>
      </c>
      <c r="AA17" s="35">
        <f t="shared" si="46"/>
        <v>0.4006738578</v>
      </c>
      <c r="AB17" s="35">
        <f t="shared" si="46"/>
        <v>0.4207075507</v>
      </c>
      <c r="AC17" s="35">
        <f t="shared" si="46"/>
        <v>0.4417429282</v>
      </c>
      <c r="AD17" s="35">
        <f t="shared" si="46"/>
        <v>0.4638300747</v>
      </c>
      <c r="AE17" s="35">
        <f t="shared" si="46"/>
        <v>0.4870215784</v>
      </c>
      <c r="AF17" s="35">
        <f t="shared" si="46"/>
        <v>0.5113726573</v>
      </c>
      <c r="AG17" s="35">
        <f t="shared" si="46"/>
        <v>0.5369412902</v>
      </c>
      <c r="AH17" s="35">
        <f t="shared" si="46"/>
        <v>0.5369412902</v>
      </c>
      <c r="AI17" s="35">
        <f t="shared" si="46"/>
        <v>0.5369412902</v>
      </c>
      <c r="AJ17" s="35">
        <f t="shared" si="46"/>
        <v>0.5369412902</v>
      </c>
      <c r="AK17" s="36">
        <f t="shared" si="34"/>
        <v>0.4681775799</v>
      </c>
      <c r="AL17" s="35">
        <f>AJ17*(1+AJ18)</f>
        <v>0.5369412902</v>
      </c>
      <c r="AM17" s="35">
        <f t="shared" ref="AM17:AW17" si="47">AL17*(1+AL18)</f>
        <v>0.5369412902</v>
      </c>
      <c r="AN17" s="35">
        <f t="shared" si="47"/>
        <v>0.5369412902</v>
      </c>
      <c r="AO17" s="35">
        <f t="shared" si="47"/>
        <v>0.5369412902</v>
      </c>
      <c r="AP17" s="35">
        <f t="shared" si="47"/>
        <v>0.5369412902</v>
      </c>
      <c r="AQ17" s="35">
        <f t="shared" si="47"/>
        <v>0.5369412902</v>
      </c>
      <c r="AR17" s="35">
        <f t="shared" si="47"/>
        <v>0.5369412902</v>
      </c>
      <c r="AS17" s="35">
        <f t="shared" si="47"/>
        <v>0.5369412902</v>
      </c>
      <c r="AT17" s="35">
        <f t="shared" si="47"/>
        <v>0.5369412902</v>
      </c>
      <c r="AU17" s="35">
        <f t="shared" si="47"/>
        <v>0.5369412902</v>
      </c>
      <c r="AV17" s="35">
        <f t="shared" si="47"/>
        <v>0.5369412902</v>
      </c>
      <c r="AW17" s="35">
        <f t="shared" si="47"/>
        <v>0.5369412902</v>
      </c>
      <c r="AX17" s="36">
        <f t="shared" si="36"/>
        <v>0.5369412902</v>
      </c>
      <c r="AY17" s="37">
        <f>AVERAGE(K17,X17,AK17,AX17)</f>
        <v>0.4121330499</v>
      </c>
    </row>
    <row r="18">
      <c r="A18" s="38" t="s">
        <v>28</v>
      </c>
      <c r="B18" s="21">
        <v>0.01</v>
      </c>
      <c r="C18" s="23">
        <f>B18</f>
        <v>0.01</v>
      </c>
      <c r="D18" s="39">
        <v>0.006862</v>
      </c>
      <c r="E18" s="39">
        <v>0.006862</v>
      </c>
      <c r="F18" s="39">
        <v>0.006862</v>
      </c>
      <c r="G18" s="39">
        <v>0.006862</v>
      </c>
      <c r="H18" s="39">
        <v>0.006862</v>
      </c>
      <c r="I18" s="39">
        <v>0.006862</v>
      </c>
      <c r="J18" s="39">
        <v>0.006862</v>
      </c>
      <c r="K18" s="40">
        <f t="shared" si="30"/>
        <v>0.007559333333</v>
      </c>
      <c r="L18" s="39">
        <v>0.006862</v>
      </c>
      <c r="M18" s="39">
        <v>0.006862</v>
      </c>
      <c r="N18" s="39">
        <v>0.006862</v>
      </c>
      <c r="O18" s="39">
        <v>0.006862</v>
      </c>
      <c r="P18" s="39">
        <v>0.006862</v>
      </c>
      <c r="Q18" s="39">
        <v>0.006862</v>
      </c>
      <c r="R18" s="39">
        <v>0.006862</v>
      </c>
      <c r="S18" s="39">
        <v>0.006862</v>
      </c>
      <c r="T18" s="39">
        <v>0.006862</v>
      </c>
      <c r="U18" s="39">
        <v>0.006862</v>
      </c>
      <c r="V18" s="39">
        <v>0.006862</v>
      </c>
      <c r="W18" s="39">
        <v>0.05</v>
      </c>
      <c r="X18" s="40">
        <f t="shared" si="32"/>
        <v>0.01045683333</v>
      </c>
      <c r="Y18" s="39">
        <f>W18</f>
        <v>0.05</v>
      </c>
      <c r="Z18" s="39">
        <f t="shared" ref="Z18:AF18" si="48">Y18</f>
        <v>0.05</v>
      </c>
      <c r="AA18" s="39">
        <f t="shared" si="48"/>
        <v>0.05</v>
      </c>
      <c r="AB18" s="39">
        <f t="shared" si="48"/>
        <v>0.05</v>
      </c>
      <c r="AC18" s="39">
        <f t="shared" si="48"/>
        <v>0.05</v>
      </c>
      <c r="AD18" s="39">
        <f t="shared" si="48"/>
        <v>0.05</v>
      </c>
      <c r="AE18" s="39">
        <f t="shared" si="48"/>
        <v>0.05</v>
      </c>
      <c r="AF18" s="39">
        <f t="shared" si="48"/>
        <v>0.05</v>
      </c>
      <c r="AG18" s="39">
        <v>0.0</v>
      </c>
      <c r="AH18" s="39">
        <f t="shared" ref="AH18:AJ18" si="49">AG18</f>
        <v>0</v>
      </c>
      <c r="AI18" s="39">
        <f t="shared" si="49"/>
        <v>0</v>
      </c>
      <c r="AJ18" s="39">
        <f t="shared" si="49"/>
        <v>0</v>
      </c>
      <c r="AK18" s="40">
        <f t="shared" si="34"/>
        <v>0.03333333333</v>
      </c>
      <c r="AL18" s="39">
        <f>AJ18</f>
        <v>0</v>
      </c>
      <c r="AM18" s="39">
        <f t="shared" ref="AM18:AW18" si="50">AL18</f>
        <v>0</v>
      </c>
      <c r="AN18" s="39">
        <f t="shared" si="50"/>
        <v>0</v>
      </c>
      <c r="AO18" s="39">
        <f t="shared" si="50"/>
        <v>0</v>
      </c>
      <c r="AP18" s="39">
        <f t="shared" si="50"/>
        <v>0</v>
      </c>
      <c r="AQ18" s="39">
        <f t="shared" si="50"/>
        <v>0</v>
      </c>
      <c r="AR18" s="39">
        <f t="shared" si="50"/>
        <v>0</v>
      </c>
      <c r="AS18" s="39">
        <f t="shared" si="50"/>
        <v>0</v>
      </c>
      <c r="AT18" s="39">
        <f t="shared" si="50"/>
        <v>0</v>
      </c>
      <c r="AU18" s="39">
        <f t="shared" si="50"/>
        <v>0</v>
      </c>
      <c r="AV18" s="39">
        <f t="shared" si="50"/>
        <v>0</v>
      </c>
      <c r="AW18" s="39">
        <f t="shared" si="50"/>
        <v>0</v>
      </c>
      <c r="AX18" s="40">
        <f t="shared" si="36"/>
        <v>0</v>
      </c>
      <c r="AY18" s="24" t="s">
        <v>18</v>
      </c>
    </row>
    <row r="19">
      <c r="A19" s="12" t="s">
        <v>29</v>
      </c>
      <c r="B19" s="34">
        <v>0.2056</v>
      </c>
      <c r="C19" s="35">
        <f t="shared" ref="C19:J19" si="51">B19*(1+B20)</f>
        <v>0.207656</v>
      </c>
      <c r="D19" s="35">
        <f t="shared" si="51"/>
        <v>0.20973256</v>
      </c>
      <c r="E19" s="35">
        <f t="shared" si="51"/>
        <v>0.2116769906</v>
      </c>
      <c r="F19" s="35">
        <f t="shared" si="51"/>
        <v>0.2136394479</v>
      </c>
      <c r="G19" s="35">
        <f t="shared" si="51"/>
        <v>0.2156200993</v>
      </c>
      <c r="H19" s="35">
        <f t="shared" si="51"/>
        <v>0.2176191132</v>
      </c>
      <c r="I19" s="35">
        <f t="shared" si="51"/>
        <v>0.21963666</v>
      </c>
      <c r="J19" s="35">
        <f t="shared" si="51"/>
        <v>0.2216729115</v>
      </c>
      <c r="K19" s="36">
        <f t="shared" si="30"/>
        <v>0.2136504203</v>
      </c>
      <c r="L19" s="35">
        <f>J19*(1+J20)</f>
        <v>0.223728041</v>
      </c>
      <c r="M19" s="35">
        <f t="shared" ref="M19:W19" si="52">L19*(1+L20)</f>
        <v>0.2258022237</v>
      </c>
      <c r="N19" s="35">
        <f t="shared" si="52"/>
        <v>0.2278956361</v>
      </c>
      <c r="O19" s="35">
        <f t="shared" si="52"/>
        <v>0.2300084566</v>
      </c>
      <c r="P19" s="35">
        <f t="shared" si="52"/>
        <v>0.232140865</v>
      </c>
      <c r="Q19" s="35">
        <f t="shared" si="52"/>
        <v>0.2342930429</v>
      </c>
      <c r="R19" s="35">
        <f t="shared" si="52"/>
        <v>0.2364651737</v>
      </c>
      <c r="S19" s="35">
        <f t="shared" si="52"/>
        <v>0.2386574424</v>
      </c>
      <c r="T19" s="35">
        <f t="shared" si="52"/>
        <v>0.2408700355</v>
      </c>
      <c r="U19" s="35">
        <f t="shared" si="52"/>
        <v>0.2431031416</v>
      </c>
      <c r="V19" s="35">
        <f t="shared" si="52"/>
        <v>0.2453569508</v>
      </c>
      <c r="W19" s="35">
        <f t="shared" si="52"/>
        <v>0.2476316551</v>
      </c>
      <c r="X19" s="36">
        <f t="shared" si="32"/>
        <v>0.2354960554</v>
      </c>
      <c r="Y19" s="35">
        <f>W19*(1+W20)</f>
        <v>0.2600132379</v>
      </c>
      <c r="Z19" s="35">
        <f t="shared" ref="Z19:AJ19" si="53">Y19*(1+Y20)</f>
        <v>0.2730138998</v>
      </c>
      <c r="AA19" s="35">
        <f t="shared" si="53"/>
        <v>0.2866645948</v>
      </c>
      <c r="AB19" s="35">
        <f t="shared" si="53"/>
        <v>0.3009978245</v>
      </c>
      <c r="AC19" s="35">
        <f t="shared" si="53"/>
        <v>0.3160477157</v>
      </c>
      <c r="AD19" s="35">
        <f t="shared" si="53"/>
        <v>0.3318501015</v>
      </c>
      <c r="AE19" s="35">
        <f t="shared" si="53"/>
        <v>0.3484426066</v>
      </c>
      <c r="AF19" s="35">
        <f t="shared" si="53"/>
        <v>0.3658647369</v>
      </c>
      <c r="AG19" s="35">
        <f t="shared" si="53"/>
        <v>0.3841579738</v>
      </c>
      <c r="AH19" s="35">
        <f t="shared" si="53"/>
        <v>0.3841579738</v>
      </c>
      <c r="AI19" s="35">
        <f t="shared" si="53"/>
        <v>0.3841579738</v>
      </c>
      <c r="AJ19" s="35">
        <f t="shared" si="53"/>
        <v>0.3841579738</v>
      </c>
      <c r="AK19" s="36">
        <f t="shared" si="34"/>
        <v>0.3349605511</v>
      </c>
      <c r="AL19" s="35">
        <f>AJ19*(1+AJ20)</f>
        <v>0.3841579738</v>
      </c>
      <c r="AM19" s="35">
        <f t="shared" ref="AM19:AW19" si="54">AL19*(1+AL20)</f>
        <v>0.3841579738</v>
      </c>
      <c r="AN19" s="35">
        <f t="shared" si="54"/>
        <v>0.3841579738</v>
      </c>
      <c r="AO19" s="35">
        <f t="shared" si="54"/>
        <v>0.3841579738</v>
      </c>
      <c r="AP19" s="35">
        <f t="shared" si="54"/>
        <v>0.3841579738</v>
      </c>
      <c r="AQ19" s="35">
        <f t="shared" si="54"/>
        <v>0.3841579738</v>
      </c>
      <c r="AR19" s="35">
        <f t="shared" si="54"/>
        <v>0.3841579738</v>
      </c>
      <c r="AS19" s="35">
        <f t="shared" si="54"/>
        <v>0.3841579738</v>
      </c>
      <c r="AT19" s="35">
        <f t="shared" si="54"/>
        <v>0.3841579738</v>
      </c>
      <c r="AU19" s="35">
        <f t="shared" si="54"/>
        <v>0.3841579738</v>
      </c>
      <c r="AV19" s="35">
        <f t="shared" si="54"/>
        <v>0.3841579738</v>
      </c>
      <c r="AW19" s="35">
        <f t="shared" si="54"/>
        <v>0.3841579738</v>
      </c>
      <c r="AX19" s="36">
        <f t="shared" si="36"/>
        <v>0.3841579738</v>
      </c>
      <c r="AY19" s="37">
        <f>AVERAGE(K19,X19,AK19,AX19)</f>
        <v>0.2920662501</v>
      </c>
    </row>
    <row r="20">
      <c r="A20" s="38" t="s">
        <v>30</v>
      </c>
      <c r="B20" s="21">
        <v>0.01</v>
      </c>
      <c r="C20" s="23">
        <f>B20</f>
        <v>0.01</v>
      </c>
      <c r="D20" s="39">
        <v>0.009271</v>
      </c>
      <c r="E20" s="39">
        <v>0.009271</v>
      </c>
      <c r="F20" s="39">
        <v>0.009271</v>
      </c>
      <c r="G20" s="39">
        <v>0.009271</v>
      </c>
      <c r="H20" s="39">
        <v>0.009271</v>
      </c>
      <c r="I20" s="39">
        <v>0.009271</v>
      </c>
      <c r="J20" s="39">
        <v>0.009271</v>
      </c>
      <c r="K20" s="40">
        <f t="shared" si="30"/>
        <v>0.009433</v>
      </c>
      <c r="L20" s="39">
        <v>0.009271</v>
      </c>
      <c r="M20" s="39">
        <v>0.009271</v>
      </c>
      <c r="N20" s="39">
        <v>0.009271</v>
      </c>
      <c r="O20" s="39">
        <v>0.009271</v>
      </c>
      <c r="P20" s="39">
        <v>0.009271</v>
      </c>
      <c r="Q20" s="39">
        <v>0.009271</v>
      </c>
      <c r="R20" s="39">
        <v>0.009271</v>
      </c>
      <c r="S20" s="39">
        <v>0.009271</v>
      </c>
      <c r="T20" s="39">
        <v>0.009271</v>
      </c>
      <c r="U20" s="39">
        <v>0.009271</v>
      </c>
      <c r="V20" s="39">
        <v>0.009271</v>
      </c>
      <c r="W20" s="39">
        <v>0.05</v>
      </c>
      <c r="X20" s="40">
        <f t="shared" si="32"/>
        <v>0.01266508333</v>
      </c>
      <c r="Y20" s="39">
        <f>W20</f>
        <v>0.05</v>
      </c>
      <c r="Z20" s="39">
        <f t="shared" ref="Z20:AF20" si="55">Y20</f>
        <v>0.05</v>
      </c>
      <c r="AA20" s="39">
        <f t="shared" si="55"/>
        <v>0.05</v>
      </c>
      <c r="AB20" s="39">
        <f t="shared" si="55"/>
        <v>0.05</v>
      </c>
      <c r="AC20" s="39">
        <f t="shared" si="55"/>
        <v>0.05</v>
      </c>
      <c r="AD20" s="39">
        <f t="shared" si="55"/>
        <v>0.05</v>
      </c>
      <c r="AE20" s="39">
        <f t="shared" si="55"/>
        <v>0.05</v>
      </c>
      <c r="AF20" s="39">
        <f t="shared" si="55"/>
        <v>0.05</v>
      </c>
      <c r="AG20" s="39">
        <v>0.0</v>
      </c>
      <c r="AH20" s="39">
        <f t="shared" ref="AH20:AJ20" si="56">AG20</f>
        <v>0</v>
      </c>
      <c r="AI20" s="39">
        <f t="shared" si="56"/>
        <v>0</v>
      </c>
      <c r="AJ20" s="39">
        <f t="shared" si="56"/>
        <v>0</v>
      </c>
      <c r="AK20" s="40">
        <f t="shared" si="34"/>
        <v>0.03333333333</v>
      </c>
      <c r="AL20" s="39">
        <f>AJ20</f>
        <v>0</v>
      </c>
      <c r="AM20" s="39">
        <f t="shared" ref="AM20:AW20" si="57">AL20</f>
        <v>0</v>
      </c>
      <c r="AN20" s="39">
        <f t="shared" si="57"/>
        <v>0</v>
      </c>
      <c r="AO20" s="39">
        <f t="shared" si="57"/>
        <v>0</v>
      </c>
      <c r="AP20" s="39">
        <f t="shared" si="57"/>
        <v>0</v>
      </c>
      <c r="AQ20" s="39">
        <f t="shared" si="57"/>
        <v>0</v>
      </c>
      <c r="AR20" s="39">
        <f t="shared" si="57"/>
        <v>0</v>
      </c>
      <c r="AS20" s="39">
        <f t="shared" si="57"/>
        <v>0</v>
      </c>
      <c r="AT20" s="39">
        <f t="shared" si="57"/>
        <v>0</v>
      </c>
      <c r="AU20" s="39">
        <f t="shared" si="57"/>
        <v>0</v>
      </c>
      <c r="AV20" s="39">
        <f t="shared" si="57"/>
        <v>0</v>
      </c>
      <c r="AW20" s="39">
        <f t="shared" si="57"/>
        <v>0</v>
      </c>
      <c r="AX20" s="40">
        <f t="shared" si="36"/>
        <v>0</v>
      </c>
      <c r="AY20" s="24" t="s">
        <v>18</v>
      </c>
    </row>
    <row r="21">
      <c r="A21" s="12" t="s">
        <v>31</v>
      </c>
      <c r="B21" s="25">
        <f>$B$70</f>
        <v>5000</v>
      </c>
      <c r="C21" s="25">
        <f t="shared" ref="C21:J21" si="58">B21*(1+$B$71)</f>
        <v>5150</v>
      </c>
      <c r="D21" s="25">
        <f t="shared" si="58"/>
        <v>5304.5</v>
      </c>
      <c r="E21" s="25">
        <f t="shared" si="58"/>
        <v>5463.635</v>
      </c>
      <c r="F21" s="25">
        <f t="shared" si="58"/>
        <v>5627.54405</v>
      </c>
      <c r="G21" s="25">
        <f t="shared" si="58"/>
        <v>5796.370372</v>
      </c>
      <c r="H21" s="25">
        <f t="shared" si="58"/>
        <v>5970.261483</v>
      </c>
      <c r="I21" s="25">
        <f t="shared" si="58"/>
        <v>6149.369327</v>
      </c>
      <c r="J21" s="25">
        <f t="shared" si="58"/>
        <v>6333.850407</v>
      </c>
      <c r="K21" s="14">
        <f t="shared" ref="K21:K23" si="64">J21</f>
        <v>6333.850407</v>
      </c>
      <c r="L21" s="25">
        <f>J21*(1+$B$71)</f>
        <v>6523.865919</v>
      </c>
      <c r="M21" s="25">
        <f t="shared" ref="M21:W21" si="59">L21*(1+$B$71)</f>
        <v>6719.581897</v>
      </c>
      <c r="N21" s="25">
        <f t="shared" si="59"/>
        <v>6921.169354</v>
      </c>
      <c r="O21" s="25">
        <f t="shared" si="59"/>
        <v>7128.804434</v>
      </c>
      <c r="P21" s="25">
        <f t="shared" si="59"/>
        <v>7342.668567</v>
      </c>
      <c r="Q21" s="25">
        <f t="shared" si="59"/>
        <v>7562.948624</v>
      </c>
      <c r="R21" s="25">
        <f t="shared" si="59"/>
        <v>7789.837083</v>
      </c>
      <c r="S21" s="25">
        <f t="shared" si="59"/>
        <v>8023.532195</v>
      </c>
      <c r="T21" s="25">
        <f t="shared" si="59"/>
        <v>8264.238161</v>
      </c>
      <c r="U21" s="25">
        <f t="shared" si="59"/>
        <v>8512.165306</v>
      </c>
      <c r="V21" s="25">
        <f t="shared" si="59"/>
        <v>8767.530265</v>
      </c>
      <c r="W21" s="25">
        <f t="shared" si="59"/>
        <v>9030.556173</v>
      </c>
      <c r="X21" s="14">
        <f t="shared" ref="X21:X23" si="66">W21</f>
        <v>9030.556173</v>
      </c>
      <c r="Y21" s="25">
        <f>W21*(1+$B$71)</f>
        <v>9301.472859</v>
      </c>
      <c r="Z21" s="25">
        <f t="shared" ref="Z21:AJ21" si="60">Y21*(1+$B$71)</f>
        <v>9580.517044</v>
      </c>
      <c r="AA21" s="25">
        <f t="shared" si="60"/>
        <v>9867.932556</v>
      </c>
      <c r="AB21" s="25">
        <f t="shared" si="60"/>
        <v>10163.97053</v>
      </c>
      <c r="AC21" s="25">
        <f t="shared" si="60"/>
        <v>10468.88965</v>
      </c>
      <c r="AD21" s="25">
        <f t="shared" si="60"/>
        <v>10782.95634</v>
      </c>
      <c r="AE21" s="25">
        <f t="shared" si="60"/>
        <v>11106.44503</v>
      </c>
      <c r="AF21" s="25">
        <f t="shared" si="60"/>
        <v>11439.63838</v>
      </c>
      <c r="AG21" s="25">
        <f t="shared" si="60"/>
        <v>11782.82753</v>
      </c>
      <c r="AH21" s="25">
        <f t="shared" si="60"/>
        <v>12136.31236</v>
      </c>
      <c r="AI21" s="25">
        <f t="shared" si="60"/>
        <v>12500.40173</v>
      </c>
      <c r="AJ21" s="25">
        <f t="shared" si="60"/>
        <v>12875.41378</v>
      </c>
      <c r="AK21" s="14">
        <f t="shared" ref="AK21:AK23" si="68">AJ21</f>
        <v>12875.41378</v>
      </c>
      <c r="AL21" s="25">
        <f>AJ21*(1+$B$71)</f>
        <v>13261.67619</v>
      </c>
      <c r="AM21" s="25">
        <f t="shared" ref="AM21:AW21" si="61">AL21*(1+$B$71)</f>
        <v>13659.52648</v>
      </c>
      <c r="AN21" s="25">
        <f t="shared" si="61"/>
        <v>14069.31227</v>
      </c>
      <c r="AO21" s="25">
        <f t="shared" si="61"/>
        <v>14491.39164</v>
      </c>
      <c r="AP21" s="25">
        <f t="shared" si="61"/>
        <v>14926.13339</v>
      </c>
      <c r="AQ21" s="25">
        <f t="shared" si="61"/>
        <v>15373.91739</v>
      </c>
      <c r="AR21" s="25">
        <f t="shared" si="61"/>
        <v>15835.13491</v>
      </c>
      <c r="AS21" s="25">
        <f t="shared" si="61"/>
        <v>16310.18896</v>
      </c>
      <c r="AT21" s="25">
        <f t="shared" si="61"/>
        <v>16799.49463</v>
      </c>
      <c r="AU21" s="25">
        <f t="shared" si="61"/>
        <v>17303.47947</v>
      </c>
      <c r="AV21" s="25">
        <f t="shared" si="61"/>
        <v>17822.58385</v>
      </c>
      <c r="AW21" s="25">
        <f t="shared" si="61"/>
        <v>18357.26137</v>
      </c>
      <c r="AX21" s="14">
        <f t="shared" ref="AX21:AY21" si="62">AW21</f>
        <v>18357.26137</v>
      </c>
      <c r="AY21" s="15">
        <f t="shared" si="62"/>
        <v>18357.26137</v>
      </c>
    </row>
    <row r="22">
      <c r="A22" s="12" t="s">
        <v>32</v>
      </c>
      <c r="B22" s="41">
        <f>ROUND((B8*B13)+($B$69*B15)+(($B$69-1786)*B17)+(B21*B19),0)</f>
        <v>6435</v>
      </c>
      <c r="C22" s="41">
        <f t="shared" ref="C22:J22" si="63">ROUND((C8*C13)+(B8*C15)+((B22-B8)*C17)+(C21*C19),0)</f>
        <v>5342</v>
      </c>
      <c r="D22" s="41">
        <f t="shared" si="63"/>
        <v>7834</v>
      </c>
      <c r="E22" s="41">
        <f t="shared" si="63"/>
        <v>8867</v>
      </c>
      <c r="F22" s="41">
        <f t="shared" si="63"/>
        <v>7921</v>
      </c>
      <c r="G22" s="41">
        <f t="shared" si="63"/>
        <v>8257</v>
      </c>
      <c r="H22" s="41">
        <f t="shared" si="63"/>
        <v>9052</v>
      </c>
      <c r="I22" s="41">
        <f t="shared" si="63"/>
        <v>9997</v>
      </c>
      <c r="J22" s="41">
        <f t="shared" si="63"/>
        <v>11324</v>
      </c>
      <c r="K22" s="42">
        <f t="shared" si="64"/>
        <v>11324</v>
      </c>
      <c r="L22" s="41">
        <f>ROUND((L8*L13)+(J8*L15)+((J22-J8)*L17)+(L21*L19),0)</f>
        <v>13549</v>
      </c>
      <c r="M22" s="41">
        <f t="shared" ref="M22:W22" si="65">ROUND((M8*M13)+(L8*M15)+((L22-L8)*M17)+(M21*M19),0)</f>
        <v>16299</v>
      </c>
      <c r="N22" s="41">
        <f t="shared" si="65"/>
        <v>19868</v>
      </c>
      <c r="O22" s="41">
        <f t="shared" si="65"/>
        <v>22222</v>
      </c>
      <c r="P22" s="41">
        <f t="shared" si="65"/>
        <v>24391</v>
      </c>
      <c r="Q22" s="41">
        <f t="shared" si="65"/>
        <v>26644</v>
      </c>
      <c r="R22" s="41">
        <f t="shared" si="65"/>
        <v>27487</v>
      </c>
      <c r="S22" s="41">
        <f t="shared" si="65"/>
        <v>27953</v>
      </c>
      <c r="T22" s="41">
        <f t="shared" si="65"/>
        <v>28301</v>
      </c>
      <c r="U22" s="41">
        <f t="shared" si="65"/>
        <v>28617</v>
      </c>
      <c r="V22" s="41">
        <f t="shared" si="65"/>
        <v>28928</v>
      </c>
      <c r="W22" s="41">
        <f t="shared" si="65"/>
        <v>29246</v>
      </c>
      <c r="X22" s="42">
        <f t="shared" si="66"/>
        <v>29246</v>
      </c>
      <c r="Y22" s="41">
        <f>ROUND((Y8*Y13)+(W8*Y15)+((W22-W8)*Y17)+(Y21*Y19),0)</f>
        <v>30086</v>
      </c>
      <c r="Z22" s="41">
        <f t="shared" ref="Z22:AJ22" si="67">ROUND((Z8*Z13)+(Y8*Z15)+((Y22-Y8)*Z17)+(Z21*Z19),0)</f>
        <v>31177</v>
      </c>
      <c r="AA22" s="41">
        <f t="shared" si="67"/>
        <v>32441</v>
      </c>
      <c r="AB22" s="41">
        <f t="shared" si="67"/>
        <v>33867</v>
      </c>
      <c r="AC22" s="41">
        <f t="shared" si="67"/>
        <v>35466</v>
      </c>
      <c r="AD22" s="41">
        <f t="shared" si="67"/>
        <v>37261</v>
      </c>
      <c r="AE22" s="41">
        <f t="shared" si="67"/>
        <v>39283</v>
      </c>
      <c r="AF22" s="41">
        <f t="shared" si="67"/>
        <v>41571</v>
      </c>
      <c r="AG22" s="41">
        <f t="shared" si="67"/>
        <v>44173</v>
      </c>
      <c r="AH22" s="41">
        <f t="shared" si="67"/>
        <v>45844</v>
      </c>
      <c r="AI22" s="41">
        <f t="shared" si="67"/>
        <v>47023</v>
      </c>
      <c r="AJ22" s="41">
        <f t="shared" si="67"/>
        <v>47947</v>
      </c>
      <c r="AK22" s="42">
        <f t="shared" si="68"/>
        <v>47947</v>
      </c>
      <c r="AL22" s="41">
        <f>ROUND((AL8*AL13)+(AJ8*AL15)+((AJ22-AJ8)*AL17)+(AL21*AL19),0)</f>
        <v>48742</v>
      </c>
      <c r="AM22" s="41">
        <f t="shared" ref="AM22:AW22" si="69">ROUND((AM8*AM13)+(AL8*AM15)+((AL22-AL8)*AM17)+(AM21*AM19),0)</f>
        <v>49478</v>
      </c>
      <c r="AN22" s="41">
        <f t="shared" si="69"/>
        <v>50190</v>
      </c>
      <c r="AO22" s="41">
        <f t="shared" si="69"/>
        <v>50900</v>
      </c>
      <c r="AP22" s="41">
        <f t="shared" si="69"/>
        <v>51618</v>
      </c>
      <c r="AQ22" s="41">
        <f t="shared" si="69"/>
        <v>52350</v>
      </c>
      <c r="AR22" s="41">
        <f t="shared" si="69"/>
        <v>53101</v>
      </c>
      <c r="AS22" s="41">
        <f t="shared" si="69"/>
        <v>53872</v>
      </c>
      <c r="AT22" s="41">
        <f t="shared" si="69"/>
        <v>54665</v>
      </c>
      <c r="AU22" s="41">
        <f t="shared" si="69"/>
        <v>55481</v>
      </c>
      <c r="AV22" s="41">
        <f t="shared" si="69"/>
        <v>56322</v>
      </c>
      <c r="AW22" s="41">
        <f t="shared" si="69"/>
        <v>57188</v>
      </c>
      <c r="AX22" s="42">
        <f t="shared" ref="AX22:AX23" si="74">AW22</f>
        <v>57188</v>
      </c>
      <c r="AY22" s="43">
        <f t="shared" ref="AY22:AY23" si="75">K22+X22+AK22+AX22</f>
        <v>145705</v>
      </c>
    </row>
    <row r="23">
      <c r="A23" s="12" t="s">
        <v>33</v>
      </c>
      <c r="B23" s="28">
        <v>62.0</v>
      </c>
      <c r="C23" s="27">
        <f t="shared" ref="C23:J23" si="70">ROUND(B23*(1+B24),0)</f>
        <v>63</v>
      </c>
      <c r="D23" s="27">
        <f t="shared" si="70"/>
        <v>64</v>
      </c>
      <c r="E23" s="27">
        <f t="shared" si="70"/>
        <v>65</v>
      </c>
      <c r="F23" s="27">
        <f t="shared" si="70"/>
        <v>66</v>
      </c>
      <c r="G23" s="27">
        <f t="shared" si="70"/>
        <v>80</v>
      </c>
      <c r="H23" s="27">
        <f t="shared" si="70"/>
        <v>100</v>
      </c>
      <c r="I23" s="27">
        <f t="shared" si="70"/>
        <v>120</v>
      </c>
      <c r="J23" s="27">
        <f t="shared" si="70"/>
        <v>150</v>
      </c>
      <c r="K23" s="44">
        <f t="shared" si="64"/>
        <v>150</v>
      </c>
      <c r="L23" s="27">
        <f>ROUND(J23*(1+J24),0)</f>
        <v>185</v>
      </c>
      <c r="M23" s="27">
        <f t="shared" ref="M23:W23" si="71">ROUND(L23*(1+L24),0)</f>
        <v>225</v>
      </c>
      <c r="N23" s="27">
        <f t="shared" si="71"/>
        <v>270</v>
      </c>
      <c r="O23" s="27">
        <f t="shared" si="71"/>
        <v>320</v>
      </c>
      <c r="P23" s="27">
        <f t="shared" si="71"/>
        <v>375</v>
      </c>
      <c r="Q23" s="27">
        <f t="shared" si="71"/>
        <v>430</v>
      </c>
      <c r="R23" s="27">
        <f t="shared" si="71"/>
        <v>490</v>
      </c>
      <c r="S23" s="27">
        <f t="shared" si="71"/>
        <v>555</v>
      </c>
      <c r="T23" s="27">
        <f t="shared" si="71"/>
        <v>620</v>
      </c>
      <c r="U23" s="27">
        <f t="shared" si="71"/>
        <v>690</v>
      </c>
      <c r="V23" s="27">
        <f t="shared" si="71"/>
        <v>760</v>
      </c>
      <c r="W23" s="27">
        <f t="shared" si="71"/>
        <v>798</v>
      </c>
      <c r="X23" s="44">
        <f t="shared" si="66"/>
        <v>798</v>
      </c>
      <c r="Y23" s="27">
        <f>ROUND(W23*(1+W24),0)</f>
        <v>838</v>
      </c>
      <c r="Z23" s="27">
        <f t="shared" ref="Z23:AJ23" si="72">ROUND(Y23*(1+Y24),0)</f>
        <v>880</v>
      </c>
      <c r="AA23" s="27">
        <f t="shared" si="72"/>
        <v>924</v>
      </c>
      <c r="AB23" s="27">
        <f t="shared" si="72"/>
        <v>970</v>
      </c>
      <c r="AC23" s="27">
        <f t="shared" si="72"/>
        <v>1019</v>
      </c>
      <c r="AD23" s="27">
        <f t="shared" si="72"/>
        <v>1070</v>
      </c>
      <c r="AE23" s="27">
        <f t="shared" si="72"/>
        <v>1124</v>
      </c>
      <c r="AF23" s="27">
        <f t="shared" si="72"/>
        <v>1180</v>
      </c>
      <c r="AG23" s="27">
        <f t="shared" si="72"/>
        <v>1239</v>
      </c>
      <c r="AH23" s="27">
        <f t="shared" si="72"/>
        <v>1301</v>
      </c>
      <c r="AI23" s="27">
        <f t="shared" si="72"/>
        <v>1366</v>
      </c>
      <c r="AJ23" s="27">
        <f t="shared" si="72"/>
        <v>1434</v>
      </c>
      <c r="AK23" s="44">
        <f t="shared" si="68"/>
        <v>1434</v>
      </c>
      <c r="AL23" s="27">
        <f>ROUND(AJ23*(1+AJ24),0)</f>
        <v>1506</v>
      </c>
      <c r="AM23" s="27">
        <f t="shared" ref="AM23:AW23" si="73">ROUND(AL23*(1+AL24),0)</f>
        <v>1581</v>
      </c>
      <c r="AN23" s="27">
        <f t="shared" si="73"/>
        <v>1660</v>
      </c>
      <c r="AO23" s="27">
        <f t="shared" si="73"/>
        <v>1743</v>
      </c>
      <c r="AP23" s="27">
        <f t="shared" si="73"/>
        <v>1830</v>
      </c>
      <c r="AQ23" s="27">
        <f t="shared" si="73"/>
        <v>1922</v>
      </c>
      <c r="AR23" s="27">
        <f t="shared" si="73"/>
        <v>2018</v>
      </c>
      <c r="AS23" s="27">
        <f t="shared" si="73"/>
        <v>2119</v>
      </c>
      <c r="AT23" s="27">
        <f t="shared" si="73"/>
        <v>2225</v>
      </c>
      <c r="AU23" s="27">
        <f t="shared" si="73"/>
        <v>2336</v>
      </c>
      <c r="AV23" s="27">
        <f t="shared" si="73"/>
        <v>2453</v>
      </c>
      <c r="AW23" s="27">
        <f t="shared" si="73"/>
        <v>2576</v>
      </c>
      <c r="AX23" s="44">
        <f t="shared" si="74"/>
        <v>2576</v>
      </c>
      <c r="AY23" s="45">
        <f t="shared" si="75"/>
        <v>4958</v>
      </c>
    </row>
    <row r="24">
      <c r="A24" s="38" t="s">
        <v>34</v>
      </c>
      <c r="B24" s="21">
        <v>0.01</v>
      </c>
      <c r="C24" s="23">
        <f t="shared" ref="C24:E24" si="76">IF(AND($E$79&lt;&gt;"",C3&gt;=$E$79),$C$79,B24)</f>
        <v>0.01</v>
      </c>
      <c r="D24" s="23">
        <f t="shared" si="76"/>
        <v>0.01</v>
      </c>
      <c r="E24" s="23">
        <f t="shared" si="76"/>
        <v>0.01</v>
      </c>
      <c r="F24" s="21">
        <v>0.21</v>
      </c>
      <c r="G24" s="21">
        <v>0.25</v>
      </c>
      <c r="H24" s="21">
        <v>0.2</v>
      </c>
      <c r="I24" s="21">
        <v>0.25</v>
      </c>
      <c r="J24" s="21">
        <v>0.23</v>
      </c>
      <c r="K24" s="22">
        <f>AVERAGE(B24:J24)</f>
        <v>0.1311111111</v>
      </c>
      <c r="L24" s="21">
        <v>0.215</v>
      </c>
      <c r="M24" s="21">
        <v>0.2</v>
      </c>
      <c r="N24" s="21">
        <v>0.185</v>
      </c>
      <c r="O24" s="21">
        <v>0.173</v>
      </c>
      <c r="P24" s="21">
        <v>0.147</v>
      </c>
      <c r="Q24" s="21">
        <v>0.14</v>
      </c>
      <c r="R24" s="21">
        <v>0.133</v>
      </c>
      <c r="S24" s="21">
        <v>0.117</v>
      </c>
      <c r="T24" s="21">
        <v>0.113</v>
      </c>
      <c r="U24" s="21">
        <v>0.102</v>
      </c>
      <c r="V24" s="21">
        <v>0.05</v>
      </c>
      <c r="W24" s="21">
        <v>0.05</v>
      </c>
      <c r="X24" s="22">
        <f>AVERAGE(L24:W24)</f>
        <v>0.1354166667</v>
      </c>
      <c r="Y24" s="21">
        <v>0.05</v>
      </c>
      <c r="Z24" s="21">
        <v>0.05</v>
      </c>
      <c r="AA24" s="21">
        <v>0.05</v>
      </c>
      <c r="AB24" s="21">
        <v>0.05</v>
      </c>
      <c r="AC24" s="21">
        <v>0.05</v>
      </c>
      <c r="AD24" s="21">
        <v>0.05</v>
      </c>
      <c r="AE24" s="21">
        <v>0.05</v>
      </c>
      <c r="AF24" s="21">
        <v>0.05</v>
      </c>
      <c r="AG24" s="21">
        <v>0.05</v>
      </c>
      <c r="AH24" s="21">
        <v>0.05</v>
      </c>
      <c r="AI24" s="21">
        <v>0.05</v>
      </c>
      <c r="AJ24" s="21">
        <v>0.05</v>
      </c>
      <c r="AK24" s="22">
        <f>AVERAGE(Y24:AJ24)</f>
        <v>0.05</v>
      </c>
      <c r="AL24" s="21">
        <v>0.05</v>
      </c>
      <c r="AM24" s="21">
        <v>0.05</v>
      </c>
      <c r="AN24" s="21">
        <v>0.05</v>
      </c>
      <c r="AO24" s="21">
        <v>0.05</v>
      </c>
      <c r="AP24" s="21">
        <v>0.05</v>
      </c>
      <c r="AQ24" s="21">
        <v>0.05</v>
      </c>
      <c r="AR24" s="21">
        <v>0.05</v>
      </c>
      <c r="AS24" s="21">
        <v>0.05</v>
      </c>
      <c r="AT24" s="21">
        <v>0.05</v>
      </c>
      <c r="AU24" s="21">
        <v>0.05</v>
      </c>
      <c r="AV24" s="21">
        <v>0.05</v>
      </c>
      <c r="AW24" s="21">
        <v>0.05</v>
      </c>
      <c r="AX24" s="22">
        <f>AVERAGE(AL24:AW24)</f>
        <v>0.05</v>
      </c>
      <c r="AY24" s="24" t="s">
        <v>18</v>
      </c>
    </row>
    <row r="25">
      <c r="A25" s="12" t="s">
        <v>35</v>
      </c>
      <c r="B25" s="28">
        <f t="shared" ref="B25:AY25" si="77">B22-B23</f>
        <v>6373</v>
      </c>
      <c r="C25" s="27">
        <f t="shared" si="77"/>
        <v>5279</v>
      </c>
      <c r="D25" s="27">
        <f t="shared" si="77"/>
        <v>7770</v>
      </c>
      <c r="E25" s="27">
        <f t="shared" si="77"/>
        <v>8802</v>
      </c>
      <c r="F25" s="27">
        <f t="shared" si="77"/>
        <v>7855</v>
      </c>
      <c r="G25" s="27">
        <f t="shared" si="77"/>
        <v>8177</v>
      </c>
      <c r="H25" s="27">
        <f t="shared" si="77"/>
        <v>8952</v>
      </c>
      <c r="I25" s="27">
        <f t="shared" si="77"/>
        <v>9877</v>
      </c>
      <c r="J25" s="27">
        <f t="shared" si="77"/>
        <v>11174</v>
      </c>
      <c r="K25" s="44">
        <f t="shared" si="77"/>
        <v>11174</v>
      </c>
      <c r="L25" s="27">
        <f t="shared" si="77"/>
        <v>13364</v>
      </c>
      <c r="M25" s="27">
        <f t="shared" si="77"/>
        <v>16074</v>
      </c>
      <c r="N25" s="27">
        <f t="shared" si="77"/>
        <v>19598</v>
      </c>
      <c r="O25" s="27">
        <f t="shared" si="77"/>
        <v>21902</v>
      </c>
      <c r="P25" s="27">
        <f t="shared" si="77"/>
        <v>24016</v>
      </c>
      <c r="Q25" s="27">
        <f t="shared" si="77"/>
        <v>26214</v>
      </c>
      <c r="R25" s="27">
        <f t="shared" si="77"/>
        <v>26997</v>
      </c>
      <c r="S25" s="27">
        <f t="shared" si="77"/>
        <v>27398</v>
      </c>
      <c r="T25" s="27">
        <f t="shared" si="77"/>
        <v>27681</v>
      </c>
      <c r="U25" s="27">
        <f t="shared" si="77"/>
        <v>27927</v>
      </c>
      <c r="V25" s="27">
        <f t="shared" si="77"/>
        <v>28168</v>
      </c>
      <c r="W25" s="27">
        <f t="shared" si="77"/>
        <v>28448</v>
      </c>
      <c r="X25" s="44">
        <f t="shared" si="77"/>
        <v>28448</v>
      </c>
      <c r="Y25" s="27">
        <f t="shared" si="77"/>
        <v>29248</v>
      </c>
      <c r="Z25" s="27">
        <f t="shared" si="77"/>
        <v>30297</v>
      </c>
      <c r="AA25" s="27">
        <f t="shared" si="77"/>
        <v>31517</v>
      </c>
      <c r="AB25" s="27">
        <f t="shared" si="77"/>
        <v>32897</v>
      </c>
      <c r="AC25" s="27">
        <f t="shared" si="77"/>
        <v>34447</v>
      </c>
      <c r="AD25" s="27">
        <f t="shared" si="77"/>
        <v>36191</v>
      </c>
      <c r="AE25" s="27">
        <f t="shared" si="77"/>
        <v>38159</v>
      </c>
      <c r="AF25" s="27">
        <f t="shared" si="77"/>
        <v>40391</v>
      </c>
      <c r="AG25" s="27">
        <f t="shared" si="77"/>
        <v>42934</v>
      </c>
      <c r="AH25" s="27">
        <f t="shared" si="77"/>
        <v>44543</v>
      </c>
      <c r="AI25" s="27">
        <f t="shared" si="77"/>
        <v>45657</v>
      </c>
      <c r="AJ25" s="27">
        <f t="shared" si="77"/>
        <v>46513</v>
      </c>
      <c r="AK25" s="44">
        <f t="shared" si="77"/>
        <v>46513</v>
      </c>
      <c r="AL25" s="27">
        <f t="shared" si="77"/>
        <v>47236</v>
      </c>
      <c r="AM25" s="27">
        <f t="shared" si="77"/>
        <v>47897</v>
      </c>
      <c r="AN25" s="27">
        <f t="shared" si="77"/>
        <v>48530</v>
      </c>
      <c r="AO25" s="27">
        <f t="shared" si="77"/>
        <v>49157</v>
      </c>
      <c r="AP25" s="27">
        <f t="shared" si="77"/>
        <v>49788</v>
      </c>
      <c r="AQ25" s="27">
        <f t="shared" si="77"/>
        <v>50428</v>
      </c>
      <c r="AR25" s="27">
        <f t="shared" si="77"/>
        <v>51083</v>
      </c>
      <c r="AS25" s="27">
        <f t="shared" si="77"/>
        <v>51753</v>
      </c>
      <c r="AT25" s="27">
        <f t="shared" si="77"/>
        <v>52440</v>
      </c>
      <c r="AU25" s="27">
        <f t="shared" si="77"/>
        <v>53145</v>
      </c>
      <c r="AV25" s="27">
        <f t="shared" si="77"/>
        <v>53869</v>
      </c>
      <c r="AW25" s="27">
        <f t="shared" si="77"/>
        <v>54612</v>
      </c>
      <c r="AX25" s="18">
        <f t="shared" si="77"/>
        <v>54612</v>
      </c>
      <c r="AY25" s="19">
        <f t="shared" si="77"/>
        <v>140747</v>
      </c>
    </row>
    <row r="26">
      <c r="A26" s="46" t="s">
        <v>36</v>
      </c>
      <c r="B26" s="47">
        <f t="shared" ref="B26:J26" si="78">IF(B22&gt;0,(B8*B13)/B22,0)</f>
        <v>0.6789432789</v>
      </c>
      <c r="C26" s="47">
        <f t="shared" si="78"/>
        <v>0.5117184575</v>
      </c>
      <c r="D26" s="47">
        <f t="shared" si="78"/>
        <v>0.6882244064</v>
      </c>
      <c r="E26" s="47">
        <f t="shared" si="78"/>
        <v>0.6591406338</v>
      </c>
      <c r="F26" s="47">
        <f t="shared" si="78"/>
        <v>0.5682047721</v>
      </c>
      <c r="G26" s="47">
        <f t="shared" si="78"/>
        <v>0.5925396633</v>
      </c>
      <c r="H26" s="47">
        <f t="shared" si="78"/>
        <v>0.6063245692</v>
      </c>
      <c r="I26" s="47">
        <f t="shared" si="78"/>
        <v>0.6086721016</v>
      </c>
      <c r="J26" s="47">
        <f t="shared" si="78"/>
        <v>0.6171718342</v>
      </c>
      <c r="K26" s="47">
        <f>AVERAGE(B26:J26)</f>
        <v>0.6145488575</v>
      </c>
      <c r="L26" s="47">
        <f t="shared" ref="L26:W26" si="79">IF(L22&gt;0,(L8*L13)/L22,0)</f>
        <v>0.6470217334</v>
      </c>
      <c r="M26" s="47">
        <f t="shared" si="79"/>
        <v>0.6637093619</v>
      </c>
      <c r="N26" s="47">
        <f t="shared" si="79"/>
        <v>0.6808452464</v>
      </c>
      <c r="O26" s="47">
        <f t="shared" si="79"/>
        <v>0.6652361784</v>
      </c>
      <c r="P26" s="47">
        <f t="shared" si="79"/>
        <v>0.6630115087</v>
      </c>
      <c r="Q26" s="47">
        <f t="shared" si="79"/>
        <v>0.6645312873</v>
      </c>
      <c r="R26" s="47">
        <f t="shared" si="79"/>
        <v>0.6477821067</v>
      </c>
      <c r="S26" s="47">
        <f t="shared" si="79"/>
        <v>0.6406609799</v>
      </c>
      <c r="T26" s="47">
        <f t="shared" si="79"/>
        <v>0.636524867</v>
      </c>
      <c r="U26" s="47">
        <f t="shared" si="79"/>
        <v>0.6333075084</v>
      </c>
      <c r="V26" s="47">
        <f t="shared" si="79"/>
        <v>0.6303824598</v>
      </c>
      <c r="W26" s="47">
        <f t="shared" si="79"/>
        <v>0.6274846787</v>
      </c>
      <c r="X26" s="47">
        <f>AVERAGE(L26:W26)</f>
        <v>0.6500414931</v>
      </c>
      <c r="Y26" s="47">
        <f t="shared" ref="Y26:AJ26" si="80">IF(Y22&gt;0,(Y8*Y13)/Y22,0)</f>
        <v>0.6139267905</v>
      </c>
      <c r="Z26" s="47">
        <f t="shared" si="80"/>
        <v>0.5963807121</v>
      </c>
      <c r="AA26" s="47">
        <f t="shared" si="80"/>
        <v>0.577041531</v>
      </c>
      <c r="AB26" s="47">
        <f t="shared" si="80"/>
        <v>0.5565902039</v>
      </c>
      <c r="AC26" s="47">
        <f t="shared" si="80"/>
        <v>0.5352783976</v>
      </c>
      <c r="AD26" s="47">
        <f t="shared" si="80"/>
        <v>0.5132001599</v>
      </c>
      <c r="AE26" s="47">
        <f t="shared" si="80"/>
        <v>0.4904071403</v>
      </c>
      <c r="AF26" s="47">
        <f t="shared" si="80"/>
        <v>0.4669419933</v>
      </c>
      <c r="AG26" s="47">
        <f t="shared" si="80"/>
        <v>0.4428547975</v>
      </c>
      <c r="AH26" s="47">
        <f t="shared" si="80"/>
        <v>0.4301050022</v>
      </c>
      <c r="AI26" s="47">
        <f t="shared" si="80"/>
        <v>0.4227273405</v>
      </c>
      <c r="AJ26" s="47">
        <f t="shared" si="80"/>
        <v>0.4180217107</v>
      </c>
      <c r="AK26" s="47">
        <f>AVERAGE(Y26:AJ26)</f>
        <v>0.5052896483</v>
      </c>
      <c r="AL26" s="47">
        <f t="shared" ref="AL26:AW26" si="81">IF(AL22&gt;0,(AL8*AL13)/AL22,0)</f>
        <v>0.4146899096</v>
      </c>
      <c r="AM26" s="47">
        <f t="shared" si="81"/>
        <v>0.412058734</v>
      </c>
      <c r="AN26" s="47">
        <f t="shared" si="81"/>
        <v>0.4098051265</v>
      </c>
      <c r="AO26" s="47">
        <f t="shared" si="81"/>
        <v>0.4077368346</v>
      </c>
      <c r="AP26" s="47">
        <f t="shared" si="81"/>
        <v>0.4057704876</v>
      </c>
      <c r="AQ26" s="47">
        <f t="shared" si="81"/>
        <v>0.4038596916</v>
      </c>
      <c r="AR26" s="47">
        <f t="shared" si="81"/>
        <v>0.4019690496</v>
      </c>
      <c r="AS26" s="47">
        <f t="shared" si="81"/>
        <v>0.4000955832</v>
      </c>
      <c r="AT26" s="47">
        <f t="shared" si="81"/>
        <v>0.3982293924</v>
      </c>
      <c r="AU26" s="47">
        <f t="shared" si="81"/>
        <v>0.3963686312</v>
      </c>
      <c r="AV26" s="47">
        <f t="shared" si="81"/>
        <v>0.3945047738</v>
      </c>
      <c r="AW26" s="47">
        <f t="shared" si="81"/>
        <v>0.3926438904</v>
      </c>
      <c r="AX26" s="47">
        <f>AVERAGE(AL26:AW26)</f>
        <v>0.403144342</v>
      </c>
      <c r="AY26" s="47">
        <f>AVERAGE(K26,X26,AK26,AX26)</f>
        <v>0.5432560852</v>
      </c>
    </row>
    <row r="27">
      <c r="A27" s="6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3"/>
      <c r="AY27" s="33"/>
    </row>
    <row r="28">
      <c r="A28" s="10" t="s">
        <v>33</v>
      </c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>
      <c r="A29" s="48" t="s">
        <v>37</v>
      </c>
      <c r="B29" s="49" t="s">
        <v>38</v>
      </c>
      <c r="C29" s="27">
        <f t="shared" ref="C29:J29" si="82">C23-B23</f>
        <v>1</v>
      </c>
      <c r="D29" s="27">
        <f t="shared" si="82"/>
        <v>1</v>
      </c>
      <c r="E29" s="27">
        <f t="shared" si="82"/>
        <v>1</v>
      </c>
      <c r="F29" s="27">
        <f t="shared" si="82"/>
        <v>1</v>
      </c>
      <c r="G29" s="27">
        <f t="shared" si="82"/>
        <v>14</v>
      </c>
      <c r="H29" s="27">
        <f t="shared" si="82"/>
        <v>20</v>
      </c>
      <c r="I29" s="27">
        <f t="shared" si="82"/>
        <v>20</v>
      </c>
      <c r="J29" s="27">
        <f t="shared" si="82"/>
        <v>30</v>
      </c>
      <c r="K29" s="14">
        <f>SUM(B29:J29)</f>
        <v>88</v>
      </c>
      <c r="L29" s="27">
        <f>L23-J23</f>
        <v>35</v>
      </c>
      <c r="M29" s="27">
        <f t="shared" ref="M29:W29" si="83">M23-L23</f>
        <v>40</v>
      </c>
      <c r="N29" s="27">
        <f t="shared" si="83"/>
        <v>45</v>
      </c>
      <c r="O29" s="27">
        <f t="shared" si="83"/>
        <v>50</v>
      </c>
      <c r="P29" s="27">
        <f t="shared" si="83"/>
        <v>55</v>
      </c>
      <c r="Q29" s="27">
        <f t="shared" si="83"/>
        <v>55</v>
      </c>
      <c r="R29" s="27">
        <f t="shared" si="83"/>
        <v>60</v>
      </c>
      <c r="S29" s="27">
        <f t="shared" si="83"/>
        <v>65</v>
      </c>
      <c r="T29" s="27">
        <f t="shared" si="83"/>
        <v>65</v>
      </c>
      <c r="U29" s="27">
        <f t="shared" si="83"/>
        <v>70</v>
      </c>
      <c r="V29" s="27">
        <f t="shared" si="83"/>
        <v>70</v>
      </c>
      <c r="W29" s="27">
        <f t="shared" si="83"/>
        <v>38</v>
      </c>
      <c r="X29" s="14">
        <f>SUM(O29:W29)</f>
        <v>528</v>
      </c>
      <c r="Y29" s="27">
        <f>Y23-W23</f>
        <v>40</v>
      </c>
      <c r="Z29" s="27">
        <f t="shared" ref="Z29:AJ29" si="84">Z23-Y23</f>
        <v>42</v>
      </c>
      <c r="AA29" s="27">
        <f t="shared" si="84"/>
        <v>44</v>
      </c>
      <c r="AB29" s="27">
        <f t="shared" si="84"/>
        <v>46</v>
      </c>
      <c r="AC29" s="27">
        <f t="shared" si="84"/>
        <v>49</v>
      </c>
      <c r="AD29" s="27">
        <f t="shared" si="84"/>
        <v>51</v>
      </c>
      <c r="AE29" s="27">
        <f t="shared" si="84"/>
        <v>54</v>
      </c>
      <c r="AF29" s="27">
        <f t="shared" si="84"/>
        <v>56</v>
      </c>
      <c r="AG29" s="27">
        <f t="shared" si="84"/>
        <v>59</v>
      </c>
      <c r="AH29" s="27">
        <f t="shared" si="84"/>
        <v>62</v>
      </c>
      <c r="AI29" s="27">
        <f t="shared" si="84"/>
        <v>65</v>
      </c>
      <c r="AJ29" s="27">
        <f t="shared" si="84"/>
        <v>68</v>
      </c>
      <c r="AK29" s="14">
        <f>SUM(AB29:AJ29)</f>
        <v>510</v>
      </c>
      <c r="AL29" s="27">
        <f>AL23-AJ23</f>
        <v>72</v>
      </c>
      <c r="AM29" s="27">
        <f t="shared" ref="AM29:AW29" si="85">AM23-AL23</f>
        <v>75</v>
      </c>
      <c r="AN29" s="27">
        <f t="shared" si="85"/>
        <v>79</v>
      </c>
      <c r="AO29" s="27">
        <f t="shared" si="85"/>
        <v>83</v>
      </c>
      <c r="AP29" s="27">
        <f t="shared" si="85"/>
        <v>87</v>
      </c>
      <c r="AQ29" s="27">
        <f t="shared" si="85"/>
        <v>92</v>
      </c>
      <c r="AR29" s="27">
        <f t="shared" si="85"/>
        <v>96</v>
      </c>
      <c r="AS29" s="27">
        <f t="shared" si="85"/>
        <v>101</v>
      </c>
      <c r="AT29" s="27">
        <f t="shared" si="85"/>
        <v>106</v>
      </c>
      <c r="AU29" s="27">
        <f t="shared" si="85"/>
        <v>111</v>
      </c>
      <c r="AV29" s="27">
        <f t="shared" si="85"/>
        <v>117</v>
      </c>
      <c r="AW29" s="27">
        <f t="shared" si="85"/>
        <v>123</v>
      </c>
      <c r="AX29" s="44">
        <f>SUM(AO29:AW29)</f>
        <v>916</v>
      </c>
      <c r="AY29" s="50"/>
    </row>
    <row r="30">
      <c r="A30" s="12" t="s">
        <v>39</v>
      </c>
      <c r="B30" s="32">
        <f t="shared" ref="B30:J30" si="86">B23/B22</f>
        <v>0.009634809635</v>
      </c>
      <c r="C30" s="32">
        <f t="shared" si="86"/>
        <v>0.01179333583</v>
      </c>
      <c r="D30" s="32">
        <f t="shared" si="86"/>
        <v>0.008169517488</v>
      </c>
      <c r="E30" s="32">
        <f t="shared" si="86"/>
        <v>0.007330551483</v>
      </c>
      <c r="F30" s="32">
        <f t="shared" si="86"/>
        <v>0.008332281278</v>
      </c>
      <c r="G30" s="32">
        <f t="shared" si="86"/>
        <v>0.00968874894</v>
      </c>
      <c r="H30" s="32">
        <f t="shared" si="86"/>
        <v>0.01104728237</v>
      </c>
      <c r="I30" s="32">
        <f t="shared" si="86"/>
        <v>0.01200360108</v>
      </c>
      <c r="J30" s="32">
        <f t="shared" si="86"/>
        <v>0.01324620276</v>
      </c>
      <c r="K30" s="36">
        <f t="shared" ref="K30:K31" si="91">AVERAGE(B30:J30)</f>
        <v>0.01013848121</v>
      </c>
      <c r="L30" s="32">
        <f t="shared" ref="L30:W30" si="87">L23/L22</f>
        <v>0.01365414422</v>
      </c>
      <c r="M30" s="32">
        <f t="shared" si="87"/>
        <v>0.01380452789</v>
      </c>
      <c r="N30" s="32">
        <f t="shared" si="87"/>
        <v>0.01358969197</v>
      </c>
      <c r="O30" s="32">
        <f t="shared" si="87"/>
        <v>0.014400144</v>
      </c>
      <c r="P30" s="32">
        <f t="shared" si="87"/>
        <v>0.01537452339</v>
      </c>
      <c r="Q30" s="32">
        <f t="shared" si="87"/>
        <v>0.01613871791</v>
      </c>
      <c r="R30" s="32">
        <f t="shared" si="87"/>
        <v>0.01782660894</v>
      </c>
      <c r="S30" s="32">
        <f t="shared" si="87"/>
        <v>0.0198547562</v>
      </c>
      <c r="T30" s="32">
        <f t="shared" si="87"/>
        <v>0.0219073531</v>
      </c>
      <c r="U30" s="32">
        <f t="shared" si="87"/>
        <v>0.02411154209</v>
      </c>
      <c r="V30" s="32">
        <f t="shared" si="87"/>
        <v>0.02627212389</v>
      </c>
      <c r="W30" s="32">
        <f t="shared" si="87"/>
        <v>0.02728578267</v>
      </c>
      <c r="X30" s="36">
        <f>AVERAGE(L30:W30)</f>
        <v>0.01868499302</v>
      </c>
      <c r="Y30" s="32">
        <f t="shared" ref="Y30:AJ30" si="88">Y23/Y22</f>
        <v>0.02785348667</v>
      </c>
      <c r="Z30" s="32">
        <f t="shared" si="88"/>
        <v>0.02822593579</v>
      </c>
      <c r="AA30" s="32">
        <f t="shared" si="88"/>
        <v>0.02848247588</v>
      </c>
      <c r="AB30" s="32">
        <f t="shared" si="88"/>
        <v>0.02864145038</v>
      </c>
      <c r="AC30" s="32">
        <f t="shared" si="88"/>
        <v>0.02873174308</v>
      </c>
      <c r="AD30" s="32">
        <f t="shared" si="88"/>
        <v>0.02871635222</v>
      </c>
      <c r="AE30" s="32">
        <f t="shared" si="88"/>
        <v>0.02861288598</v>
      </c>
      <c r="AF30" s="32">
        <f t="shared" si="88"/>
        <v>0.02838517236</v>
      </c>
      <c r="AG30" s="32">
        <f t="shared" si="88"/>
        <v>0.0280488081</v>
      </c>
      <c r="AH30" s="32">
        <f t="shared" si="88"/>
        <v>0.02837885001</v>
      </c>
      <c r="AI30" s="32">
        <f t="shared" si="88"/>
        <v>0.02904961402</v>
      </c>
      <c r="AJ30" s="32">
        <f t="shared" si="88"/>
        <v>0.02990802344</v>
      </c>
      <c r="AK30" s="36">
        <f>AVERAGE(Y30:AJ30)</f>
        <v>0.02858623316</v>
      </c>
      <c r="AL30" s="32">
        <f t="shared" ref="AL30:AW30" si="89">AL23/AL22</f>
        <v>0.03089737803</v>
      </c>
      <c r="AM30" s="32">
        <f t="shared" si="89"/>
        <v>0.03195359554</v>
      </c>
      <c r="AN30" s="32">
        <f t="shared" si="89"/>
        <v>0.03307431759</v>
      </c>
      <c r="AO30" s="32">
        <f t="shared" si="89"/>
        <v>0.03424361493</v>
      </c>
      <c r="AP30" s="32">
        <f t="shared" si="89"/>
        <v>0.03545274904</v>
      </c>
      <c r="AQ30" s="32">
        <f t="shared" si="89"/>
        <v>0.03671442216</v>
      </c>
      <c r="AR30" s="32">
        <f t="shared" si="89"/>
        <v>0.03800305079</v>
      </c>
      <c r="AS30" s="32">
        <f t="shared" si="89"/>
        <v>0.03933397683</v>
      </c>
      <c r="AT30" s="32">
        <f t="shared" si="89"/>
        <v>0.04070246044</v>
      </c>
      <c r="AU30" s="32">
        <f t="shared" si="89"/>
        <v>0.04210450424</v>
      </c>
      <c r="AV30" s="32">
        <f t="shared" si="89"/>
        <v>0.04355314087</v>
      </c>
      <c r="AW30" s="32">
        <f t="shared" si="89"/>
        <v>0.04504441491</v>
      </c>
      <c r="AX30" s="36">
        <f>AVERAGE(AL30:AW30)</f>
        <v>0.03758980212</v>
      </c>
      <c r="AY30" s="33"/>
    </row>
    <row r="31">
      <c r="A31" s="12" t="s">
        <v>40</v>
      </c>
      <c r="B31" s="32">
        <f t="shared" ref="B31:J31" si="90">(B23*B36)/B38</f>
        <v>0.279403443</v>
      </c>
      <c r="C31" s="32">
        <f t="shared" si="90"/>
        <v>0.3223290845</v>
      </c>
      <c r="D31" s="32">
        <f t="shared" si="90"/>
        <v>0.2471493983</v>
      </c>
      <c r="E31" s="32">
        <f t="shared" si="90"/>
        <v>0.2273951683</v>
      </c>
      <c r="F31" s="32">
        <f t="shared" si="90"/>
        <v>0.2508691264</v>
      </c>
      <c r="G31" s="32">
        <f t="shared" si="90"/>
        <v>0.2805398329</v>
      </c>
      <c r="H31" s="32">
        <f t="shared" si="90"/>
        <v>0.3080623918</v>
      </c>
      <c r="I31" s="32">
        <f t="shared" si="90"/>
        <v>0.3262481108</v>
      </c>
      <c r="J31" s="32">
        <f t="shared" si="90"/>
        <v>0.3485449777</v>
      </c>
      <c r="K31" s="36">
        <f t="shared" si="91"/>
        <v>0.2878379482</v>
      </c>
      <c r="L31" s="32">
        <f t="shared" ref="L31:W31" si="92">(L23*L36)/L38</f>
        <v>0.3555582368</v>
      </c>
      <c r="M31" s="32">
        <f t="shared" si="92"/>
        <v>0.3581071032</v>
      </c>
      <c r="N31" s="32">
        <f t="shared" si="92"/>
        <v>0.3544598618</v>
      </c>
      <c r="O31" s="32">
        <f t="shared" si="92"/>
        <v>0.3680146049</v>
      </c>
      <c r="P31" s="32">
        <f t="shared" si="92"/>
        <v>0.383603494</v>
      </c>
      <c r="Q31" s="32">
        <f t="shared" si="92"/>
        <v>0.3953220811</v>
      </c>
      <c r="R31" s="32">
        <f t="shared" si="92"/>
        <v>0.4197482171</v>
      </c>
      <c r="S31" s="32">
        <f t="shared" si="92"/>
        <v>0.4467060572</v>
      </c>
      <c r="T31" s="32">
        <f t="shared" si="92"/>
        <v>0.4716520585</v>
      </c>
      <c r="U31" s="32">
        <f t="shared" si="92"/>
        <v>0.4961528059</v>
      </c>
      <c r="V31" s="32">
        <f t="shared" si="92"/>
        <v>0.5181533002</v>
      </c>
      <c r="W31" s="32">
        <f t="shared" si="92"/>
        <v>0.5278571281</v>
      </c>
      <c r="X31" s="36">
        <f>AVERAGE(O31:W31)</f>
        <v>0.4474677497</v>
      </c>
      <c r="Y31" s="32">
        <f t="shared" ref="Y31:AJ31" si="93">(Y23*Y36)/Y38</f>
        <v>0.5720816008</v>
      </c>
      <c r="Z31" s="32">
        <f t="shared" si="93"/>
        <v>0.5754238313</v>
      </c>
      <c r="AA31" s="32">
        <f t="shared" si="93"/>
        <v>0.5776971865</v>
      </c>
      <c r="AB31" s="32">
        <f t="shared" si="93"/>
        <v>0.5790943784</v>
      </c>
      <c r="AC31" s="32">
        <f t="shared" si="93"/>
        <v>0.57988403</v>
      </c>
      <c r="AD31" s="32">
        <f t="shared" si="93"/>
        <v>0.5797496302</v>
      </c>
      <c r="AE31" s="32">
        <f t="shared" si="93"/>
        <v>0.578843981</v>
      </c>
      <c r="AF31" s="32">
        <f t="shared" si="93"/>
        <v>0.5768376506</v>
      </c>
      <c r="AG31" s="32">
        <f t="shared" si="93"/>
        <v>0.5738405639</v>
      </c>
      <c r="AH31" s="32">
        <f t="shared" si="93"/>
        <v>0.5767816863</v>
      </c>
      <c r="AI31" s="32">
        <f t="shared" si="93"/>
        <v>0.5826416979</v>
      </c>
      <c r="AJ31" s="32">
        <f t="shared" si="93"/>
        <v>0.5899196938</v>
      </c>
      <c r="AK31" s="36">
        <f>AVERAGE(AB31:AJ31)</f>
        <v>0.5797325902</v>
      </c>
      <c r="AL31" s="32">
        <f t="shared" ref="AL31:AW31" si="94">(AL23*AL36)/AL38</f>
        <v>0.5980143403</v>
      </c>
      <c r="AM31" s="32">
        <f t="shared" si="94"/>
        <v>0.6063278038</v>
      </c>
      <c r="AN31" s="32">
        <f t="shared" si="94"/>
        <v>0.6147996702</v>
      </c>
      <c r="AO31" s="32">
        <f t="shared" si="94"/>
        <v>0.623278208</v>
      </c>
      <c r="AP31" s="32">
        <f t="shared" si="94"/>
        <v>0.6316820174</v>
      </c>
      <c r="AQ31" s="32">
        <f t="shared" si="94"/>
        <v>0.6400813493</v>
      </c>
      <c r="AR31" s="32">
        <f t="shared" si="94"/>
        <v>0.6482949041</v>
      </c>
      <c r="AS31" s="32">
        <f t="shared" si="94"/>
        <v>0.6564151594</v>
      </c>
      <c r="AT31" s="32">
        <f t="shared" si="94"/>
        <v>0.664404539</v>
      </c>
      <c r="AU31" s="32">
        <f t="shared" si="94"/>
        <v>0.6722355387</v>
      </c>
      <c r="AV31" s="32">
        <f t="shared" si="94"/>
        <v>0.6799743858</v>
      </c>
      <c r="AW31" s="32">
        <f t="shared" si="94"/>
        <v>0.6875911539</v>
      </c>
      <c r="AX31" s="36">
        <f>AVERAGE(AO31:AW31)</f>
        <v>0.6559952506</v>
      </c>
      <c r="AY31" s="33"/>
    </row>
    <row r="32">
      <c r="A32" s="6"/>
      <c r="B32" s="32"/>
      <c r="C32" s="17"/>
      <c r="D32" s="17"/>
      <c r="E32" s="17"/>
      <c r="F32" s="17"/>
      <c r="G32" s="17"/>
      <c r="H32" s="17"/>
      <c r="I32" s="17"/>
      <c r="J32" s="17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3"/>
      <c r="AY32" s="33"/>
    </row>
    <row r="33">
      <c r="A33" s="10" t="s">
        <v>41</v>
      </c>
      <c r="B33" s="51">
        <f t="shared" ref="B33:J33" si="95">B36/B34</f>
        <v>39.85582468</v>
      </c>
      <c r="C33" s="51">
        <f t="shared" si="95"/>
        <v>39.85582468</v>
      </c>
      <c r="D33" s="51">
        <f t="shared" si="95"/>
        <v>39.85582468</v>
      </c>
      <c r="E33" s="51">
        <f t="shared" si="95"/>
        <v>39.85582468</v>
      </c>
      <c r="F33" s="51">
        <f t="shared" si="95"/>
        <v>39.85582468</v>
      </c>
      <c r="G33" s="51">
        <f t="shared" si="95"/>
        <v>39.85582468</v>
      </c>
      <c r="H33" s="51">
        <f t="shared" si="95"/>
        <v>39.85582468</v>
      </c>
      <c r="I33" s="51">
        <f t="shared" si="95"/>
        <v>39.85582468</v>
      </c>
      <c r="J33" s="51">
        <f t="shared" si="95"/>
        <v>39.85582468</v>
      </c>
      <c r="K33" s="52"/>
      <c r="L33" s="51">
        <f t="shared" ref="L33:W33" si="96">L36/L34</f>
        <v>39.85582468</v>
      </c>
      <c r="M33" s="51">
        <f t="shared" si="96"/>
        <v>39.85582468</v>
      </c>
      <c r="N33" s="51">
        <f t="shared" si="96"/>
        <v>39.85582468</v>
      </c>
      <c r="O33" s="51">
        <f t="shared" si="96"/>
        <v>39.85582468</v>
      </c>
      <c r="P33" s="51">
        <f t="shared" si="96"/>
        <v>39.85582468</v>
      </c>
      <c r="Q33" s="51">
        <f t="shared" si="96"/>
        <v>39.85582468</v>
      </c>
      <c r="R33" s="51">
        <f t="shared" si="96"/>
        <v>39.85582468</v>
      </c>
      <c r="S33" s="51">
        <f t="shared" si="96"/>
        <v>39.85582468</v>
      </c>
      <c r="T33" s="51">
        <f t="shared" si="96"/>
        <v>39.85582468</v>
      </c>
      <c r="U33" s="51">
        <f t="shared" si="96"/>
        <v>39.85582468</v>
      </c>
      <c r="V33" s="51">
        <f t="shared" si="96"/>
        <v>39.85582468</v>
      </c>
      <c r="W33" s="51">
        <f t="shared" si="96"/>
        <v>39.85582468</v>
      </c>
      <c r="X33" s="52"/>
      <c r="Y33" s="51">
        <f t="shared" ref="Y33:AJ33" si="97">Y36/Y34</f>
        <v>46.66047768</v>
      </c>
      <c r="Z33" s="51">
        <f t="shared" si="97"/>
        <v>46.66047768</v>
      </c>
      <c r="AA33" s="51">
        <f t="shared" si="97"/>
        <v>46.66047768</v>
      </c>
      <c r="AB33" s="51">
        <f t="shared" si="97"/>
        <v>46.66047768</v>
      </c>
      <c r="AC33" s="51">
        <f t="shared" si="97"/>
        <v>46.66047768</v>
      </c>
      <c r="AD33" s="51">
        <f t="shared" si="97"/>
        <v>46.66047768</v>
      </c>
      <c r="AE33" s="51">
        <f t="shared" si="97"/>
        <v>46.66047768</v>
      </c>
      <c r="AF33" s="51">
        <f t="shared" si="97"/>
        <v>46.66047768</v>
      </c>
      <c r="AG33" s="51">
        <f t="shared" si="97"/>
        <v>46.66047768</v>
      </c>
      <c r="AH33" s="51">
        <f t="shared" si="97"/>
        <v>46.66047768</v>
      </c>
      <c r="AI33" s="51">
        <f t="shared" si="97"/>
        <v>46.66047768</v>
      </c>
      <c r="AJ33" s="51">
        <f t="shared" si="97"/>
        <v>46.66047768</v>
      </c>
      <c r="AK33" s="52"/>
      <c r="AL33" s="51">
        <f t="shared" ref="AL33:AW33" si="98">AL36/AL34</f>
        <v>46.66047768</v>
      </c>
      <c r="AM33" s="51">
        <f t="shared" si="98"/>
        <v>46.66047768</v>
      </c>
      <c r="AN33" s="51">
        <f t="shared" si="98"/>
        <v>46.66047768</v>
      </c>
      <c r="AO33" s="51">
        <f t="shared" si="98"/>
        <v>46.66047768</v>
      </c>
      <c r="AP33" s="51">
        <f t="shared" si="98"/>
        <v>46.66047768</v>
      </c>
      <c r="AQ33" s="51">
        <f t="shared" si="98"/>
        <v>46.66047768</v>
      </c>
      <c r="AR33" s="51">
        <f t="shared" si="98"/>
        <v>46.66047768</v>
      </c>
      <c r="AS33" s="51">
        <f t="shared" si="98"/>
        <v>46.66047768</v>
      </c>
      <c r="AT33" s="51">
        <f t="shared" si="98"/>
        <v>46.66047768</v>
      </c>
      <c r="AU33" s="51">
        <f t="shared" si="98"/>
        <v>46.66047768</v>
      </c>
      <c r="AV33" s="51">
        <f t="shared" si="98"/>
        <v>46.66047768</v>
      </c>
      <c r="AW33" s="51">
        <f t="shared" si="98"/>
        <v>46.66047768</v>
      </c>
      <c r="AX33" s="52"/>
      <c r="AY33" s="52"/>
    </row>
    <row r="34">
      <c r="A34" s="53" t="s">
        <v>42</v>
      </c>
      <c r="B34" s="54">
        <v>867.0</v>
      </c>
      <c r="C34" s="54">
        <f t="shared" ref="C34:J34" si="99">B34*(1+B35)</f>
        <v>875.67</v>
      </c>
      <c r="D34" s="54">
        <f t="shared" si="99"/>
        <v>884.4267</v>
      </c>
      <c r="E34" s="54">
        <f t="shared" si="99"/>
        <v>893.270967</v>
      </c>
      <c r="F34" s="54">
        <f t="shared" si="99"/>
        <v>902.2036767</v>
      </c>
      <c r="G34" s="54">
        <f t="shared" si="99"/>
        <v>911.2257134</v>
      </c>
      <c r="H34" s="54">
        <f t="shared" si="99"/>
        <v>920.3379706</v>
      </c>
      <c r="I34" s="54">
        <f t="shared" si="99"/>
        <v>929.5413503</v>
      </c>
      <c r="J34" s="54">
        <f t="shared" si="99"/>
        <v>938.8367638</v>
      </c>
      <c r="K34" s="18">
        <f t="shared" ref="K34:K37" si="104">AVERAGE(B34:J34)</f>
        <v>902.5014602</v>
      </c>
      <c r="L34" s="54">
        <f>J34*(1+J35)</f>
        <v>948.2251314</v>
      </c>
      <c r="M34" s="54">
        <f t="shared" ref="M34:W34" si="100">L34*(1+L35)</f>
        <v>957.7073827</v>
      </c>
      <c r="N34" s="54">
        <f t="shared" si="100"/>
        <v>967.2844566</v>
      </c>
      <c r="O34" s="54">
        <f t="shared" si="100"/>
        <v>991.466568</v>
      </c>
      <c r="P34" s="54">
        <f t="shared" si="100"/>
        <v>1016.253232</v>
      </c>
      <c r="Q34" s="54">
        <f t="shared" si="100"/>
        <v>1041.659563</v>
      </c>
      <c r="R34" s="54">
        <f t="shared" si="100"/>
        <v>1067.701052</v>
      </c>
      <c r="S34" s="54">
        <f t="shared" si="100"/>
        <v>1094.393578</v>
      </c>
      <c r="T34" s="54">
        <f t="shared" si="100"/>
        <v>1121.753418</v>
      </c>
      <c r="U34" s="54">
        <f t="shared" si="100"/>
        <v>1149.797253</v>
      </c>
      <c r="V34" s="54">
        <f t="shared" si="100"/>
        <v>1178.542185</v>
      </c>
      <c r="W34" s="54">
        <f t="shared" si="100"/>
        <v>1208.005739</v>
      </c>
      <c r="X34" s="18">
        <f t="shared" ref="X34:X37" si="106">AVERAGE(L34:W34)</f>
        <v>1061.89913</v>
      </c>
      <c r="Y34" s="54">
        <f>W34*(1+W35)</f>
        <v>1238.205883</v>
      </c>
      <c r="Z34" s="54">
        <f t="shared" ref="Z34:AJ34" si="101">Y34*(1+Y35)</f>
        <v>1269.16103</v>
      </c>
      <c r="AA34" s="54">
        <f t="shared" si="101"/>
        <v>1300.890055</v>
      </c>
      <c r="AB34" s="54">
        <f t="shared" si="101"/>
        <v>1313.898956</v>
      </c>
      <c r="AC34" s="54">
        <f t="shared" si="101"/>
        <v>1327.037946</v>
      </c>
      <c r="AD34" s="54">
        <f t="shared" si="101"/>
        <v>1340.308325</v>
      </c>
      <c r="AE34" s="54">
        <f t="shared" si="101"/>
        <v>1353.711408</v>
      </c>
      <c r="AF34" s="54">
        <f t="shared" si="101"/>
        <v>1367.248522</v>
      </c>
      <c r="AG34" s="54">
        <f t="shared" si="101"/>
        <v>1380.921008</v>
      </c>
      <c r="AH34" s="54">
        <f t="shared" si="101"/>
        <v>1394.730218</v>
      </c>
      <c r="AI34" s="54">
        <f t="shared" si="101"/>
        <v>1408.67752</v>
      </c>
      <c r="AJ34" s="54">
        <f t="shared" si="101"/>
        <v>1422.764295</v>
      </c>
      <c r="AK34" s="18">
        <f t="shared" ref="AK34:AK37" si="108">AVERAGE(Y34:AJ34)</f>
        <v>1343.129597</v>
      </c>
      <c r="AL34" s="54">
        <f>AJ34*(1+AJ35)</f>
        <v>1436.991938</v>
      </c>
      <c r="AM34" s="54">
        <f t="shared" ref="AM34:AW34" si="102">AL34*(1+AL35)</f>
        <v>1451.361857</v>
      </c>
      <c r="AN34" s="54">
        <f t="shared" si="102"/>
        <v>1465.875476</v>
      </c>
      <c r="AO34" s="54">
        <f t="shared" si="102"/>
        <v>1480.534231</v>
      </c>
      <c r="AP34" s="54">
        <f t="shared" si="102"/>
        <v>1495.339573</v>
      </c>
      <c r="AQ34" s="54">
        <f t="shared" si="102"/>
        <v>1510.292969</v>
      </c>
      <c r="AR34" s="54">
        <f t="shared" si="102"/>
        <v>1525.395898</v>
      </c>
      <c r="AS34" s="54">
        <f t="shared" si="102"/>
        <v>1540.649857</v>
      </c>
      <c r="AT34" s="54">
        <f t="shared" si="102"/>
        <v>1556.056356</v>
      </c>
      <c r="AU34" s="54">
        <f t="shared" si="102"/>
        <v>1571.61692</v>
      </c>
      <c r="AV34" s="54">
        <f t="shared" si="102"/>
        <v>1587.333089</v>
      </c>
      <c r="AW34" s="54">
        <f t="shared" si="102"/>
        <v>1603.20642</v>
      </c>
      <c r="AX34" s="18">
        <f t="shared" ref="AX34:AX37" si="109">AVERAGE(AL34:AW34)</f>
        <v>1518.721215</v>
      </c>
      <c r="AY34" s="19">
        <f>AVERAGE(K34,X34,AK34,AX34)</f>
        <v>1206.562851</v>
      </c>
    </row>
    <row r="35">
      <c r="A35" s="38" t="s">
        <v>43</v>
      </c>
      <c r="B35" s="55">
        <f>1/100</f>
        <v>0.01</v>
      </c>
      <c r="C35" s="56">
        <f t="shared" ref="C35:J35" si="103">B35</f>
        <v>0.01</v>
      </c>
      <c r="D35" s="56">
        <f t="shared" si="103"/>
        <v>0.01</v>
      </c>
      <c r="E35" s="56">
        <f t="shared" si="103"/>
        <v>0.01</v>
      </c>
      <c r="F35" s="56">
        <f t="shared" si="103"/>
        <v>0.01</v>
      </c>
      <c r="G35" s="56">
        <f t="shared" si="103"/>
        <v>0.01</v>
      </c>
      <c r="H35" s="56">
        <f t="shared" si="103"/>
        <v>0.01</v>
      </c>
      <c r="I35" s="56">
        <f t="shared" si="103"/>
        <v>0.01</v>
      </c>
      <c r="J35" s="56">
        <f t="shared" si="103"/>
        <v>0.01</v>
      </c>
      <c r="K35" s="57">
        <f t="shared" si="104"/>
        <v>0.01</v>
      </c>
      <c r="L35" s="56">
        <f>J35</f>
        <v>0.01</v>
      </c>
      <c r="M35" s="58">
        <f>L35</f>
        <v>0.01</v>
      </c>
      <c r="N35" s="59">
        <f t="shared" ref="N35:W35" si="105">2.5/100</f>
        <v>0.025</v>
      </c>
      <c r="O35" s="59">
        <f t="shared" si="105"/>
        <v>0.025</v>
      </c>
      <c r="P35" s="59">
        <f t="shared" si="105"/>
        <v>0.025</v>
      </c>
      <c r="Q35" s="59">
        <f t="shared" si="105"/>
        <v>0.025</v>
      </c>
      <c r="R35" s="59">
        <f t="shared" si="105"/>
        <v>0.025</v>
      </c>
      <c r="S35" s="59">
        <f t="shared" si="105"/>
        <v>0.025</v>
      </c>
      <c r="T35" s="59">
        <f t="shared" si="105"/>
        <v>0.025</v>
      </c>
      <c r="U35" s="59">
        <f t="shared" si="105"/>
        <v>0.025</v>
      </c>
      <c r="V35" s="59">
        <f t="shared" si="105"/>
        <v>0.025</v>
      </c>
      <c r="W35" s="59">
        <f t="shared" si="105"/>
        <v>0.025</v>
      </c>
      <c r="X35" s="40">
        <f t="shared" si="106"/>
        <v>0.0225</v>
      </c>
      <c r="Y35" s="59">
        <f t="shared" ref="Y35:Z35" si="107">2.5/100</f>
        <v>0.025</v>
      </c>
      <c r="Z35" s="59">
        <f t="shared" si="107"/>
        <v>0.025</v>
      </c>
      <c r="AA35" s="59">
        <v>0.01</v>
      </c>
      <c r="AB35" s="59">
        <v>0.01</v>
      </c>
      <c r="AC35" s="59">
        <v>0.01</v>
      </c>
      <c r="AD35" s="59">
        <v>0.01</v>
      </c>
      <c r="AE35" s="59">
        <v>0.01</v>
      </c>
      <c r="AF35" s="59">
        <v>0.01</v>
      </c>
      <c r="AG35" s="59">
        <v>0.01</v>
      </c>
      <c r="AH35" s="59">
        <v>0.01</v>
      </c>
      <c r="AI35" s="59">
        <v>0.01</v>
      </c>
      <c r="AJ35" s="59">
        <v>0.01</v>
      </c>
      <c r="AK35" s="40">
        <f t="shared" si="108"/>
        <v>0.0125</v>
      </c>
      <c r="AL35" s="59">
        <v>0.01</v>
      </c>
      <c r="AM35" s="59">
        <v>0.01</v>
      </c>
      <c r="AN35" s="59">
        <v>0.01</v>
      </c>
      <c r="AO35" s="59">
        <v>0.01</v>
      </c>
      <c r="AP35" s="59">
        <v>0.01</v>
      </c>
      <c r="AQ35" s="59">
        <v>0.01</v>
      </c>
      <c r="AR35" s="59">
        <v>0.01</v>
      </c>
      <c r="AS35" s="59">
        <v>0.01</v>
      </c>
      <c r="AT35" s="59">
        <v>0.01</v>
      </c>
      <c r="AU35" s="59">
        <v>0.01</v>
      </c>
      <c r="AV35" s="59">
        <v>0.01</v>
      </c>
      <c r="AW35" s="59">
        <v>0.01</v>
      </c>
      <c r="AX35" s="40">
        <f t="shared" si="109"/>
        <v>0.01</v>
      </c>
      <c r="AY35" s="60" t="s">
        <v>18</v>
      </c>
    </row>
    <row r="36">
      <c r="A36" s="53" t="s">
        <v>44</v>
      </c>
      <c r="B36" s="61">
        <v>34555.0</v>
      </c>
      <c r="C36" s="61">
        <f t="shared" ref="C36:J36" si="110">B36*(1+B37)</f>
        <v>34900.55</v>
      </c>
      <c r="D36" s="61">
        <f t="shared" si="110"/>
        <v>35249.5555</v>
      </c>
      <c r="E36" s="61">
        <f t="shared" si="110"/>
        <v>35602.05106</v>
      </c>
      <c r="F36" s="61">
        <f t="shared" si="110"/>
        <v>35958.07157</v>
      </c>
      <c r="G36" s="61">
        <f t="shared" si="110"/>
        <v>36317.65228</v>
      </c>
      <c r="H36" s="61">
        <f t="shared" si="110"/>
        <v>36680.8288</v>
      </c>
      <c r="I36" s="61">
        <f t="shared" si="110"/>
        <v>37047.63709</v>
      </c>
      <c r="J36" s="61">
        <f t="shared" si="110"/>
        <v>37418.11346</v>
      </c>
      <c r="K36" s="62">
        <f t="shared" si="104"/>
        <v>35969.93997</v>
      </c>
      <c r="L36" s="61">
        <f>J36*(1+J37)</f>
        <v>37792.2946</v>
      </c>
      <c r="M36" s="61">
        <f t="shared" ref="M36:W36" si="111">L36*(1+L37)</f>
        <v>38170.21754</v>
      </c>
      <c r="N36" s="61">
        <f t="shared" si="111"/>
        <v>38551.91972</v>
      </c>
      <c r="O36" s="61">
        <f t="shared" si="111"/>
        <v>39515.71771</v>
      </c>
      <c r="P36" s="61">
        <f t="shared" si="111"/>
        <v>40503.61065</v>
      </c>
      <c r="Q36" s="61">
        <f t="shared" si="111"/>
        <v>41516.20092</v>
      </c>
      <c r="R36" s="61">
        <f t="shared" si="111"/>
        <v>42554.10594</v>
      </c>
      <c r="S36" s="61">
        <f t="shared" si="111"/>
        <v>43617.95859</v>
      </c>
      <c r="T36" s="61">
        <f t="shared" si="111"/>
        <v>44708.40756</v>
      </c>
      <c r="U36" s="61">
        <f t="shared" si="111"/>
        <v>45826.11775</v>
      </c>
      <c r="V36" s="61">
        <f t="shared" si="111"/>
        <v>46971.77069</v>
      </c>
      <c r="W36" s="61">
        <f t="shared" si="111"/>
        <v>48146.06496</v>
      </c>
      <c r="X36" s="14">
        <f t="shared" si="106"/>
        <v>42322.86555</v>
      </c>
      <c r="Y36" s="61">
        <f>W36*(1+W37)</f>
        <v>57775.27795</v>
      </c>
      <c r="Z36" s="61">
        <f t="shared" ref="Z36:AJ36" si="112">Y36*(1+Y37)</f>
        <v>59219.6599</v>
      </c>
      <c r="AA36" s="61">
        <f t="shared" si="112"/>
        <v>60700.1514</v>
      </c>
      <c r="AB36" s="61">
        <f t="shared" si="112"/>
        <v>61307.15291</v>
      </c>
      <c r="AC36" s="61">
        <f t="shared" si="112"/>
        <v>61920.22444</v>
      </c>
      <c r="AD36" s="61">
        <f t="shared" si="112"/>
        <v>62539.42668</v>
      </c>
      <c r="AE36" s="61">
        <f t="shared" si="112"/>
        <v>63164.82095</v>
      </c>
      <c r="AF36" s="61">
        <f t="shared" si="112"/>
        <v>63796.46916</v>
      </c>
      <c r="AG36" s="61">
        <f t="shared" si="112"/>
        <v>64434.43385</v>
      </c>
      <c r="AH36" s="61">
        <f t="shared" si="112"/>
        <v>65078.77819</v>
      </c>
      <c r="AI36" s="61">
        <f t="shared" si="112"/>
        <v>65729.56597</v>
      </c>
      <c r="AJ36" s="61">
        <f t="shared" si="112"/>
        <v>66386.86163</v>
      </c>
      <c r="AK36" s="14">
        <f t="shared" si="108"/>
        <v>62671.06859</v>
      </c>
      <c r="AL36" s="61">
        <f>AJ36*(1+AJ37)</f>
        <v>67050.73025</v>
      </c>
      <c r="AM36" s="61">
        <f t="shared" ref="AM36:AW36" si="113">AL36*(1+AL37)</f>
        <v>67721.23755</v>
      </c>
      <c r="AN36" s="61">
        <f t="shared" si="113"/>
        <v>68398.44992</v>
      </c>
      <c r="AO36" s="61">
        <f t="shared" si="113"/>
        <v>69082.43442</v>
      </c>
      <c r="AP36" s="61">
        <f t="shared" si="113"/>
        <v>69773.25877</v>
      </c>
      <c r="AQ36" s="61">
        <f t="shared" si="113"/>
        <v>70470.99136</v>
      </c>
      <c r="AR36" s="61">
        <f t="shared" si="113"/>
        <v>71175.70127</v>
      </c>
      <c r="AS36" s="61">
        <f t="shared" si="113"/>
        <v>71887.45828</v>
      </c>
      <c r="AT36" s="61">
        <f t="shared" si="113"/>
        <v>72606.33287</v>
      </c>
      <c r="AU36" s="61">
        <f t="shared" si="113"/>
        <v>73332.39619</v>
      </c>
      <c r="AV36" s="61">
        <f t="shared" si="113"/>
        <v>74065.72016</v>
      </c>
      <c r="AW36" s="61">
        <f t="shared" si="113"/>
        <v>74806.37736</v>
      </c>
      <c r="AX36" s="14">
        <f t="shared" si="109"/>
        <v>70864.25737</v>
      </c>
      <c r="AY36" s="15">
        <f>AVERAGE(K36,X36,AK36,AX36)</f>
        <v>52957.03287</v>
      </c>
    </row>
    <row r="37">
      <c r="A37" s="38" t="s">
        <v>45</v>
      </c>
      <c r="B37" s="59">
        <f>1/100</f>
        <v>0.01</v>
      </c>
      <c r="C37" s="58">
        <f t="shared" ref="C37:J37" si="114">B37</f>
        <v>0.01</v>
      </c>
      <c r="D37" s="58">
        <f t="shared" si="114"/>
        <v>0.01</v>
      </c>
      <c r="E37" s="58">
        <f t="shared" si="114"/>
        <v>0.01</v>
      </c>
      <c r="F37" s="58">
        <f t="shared" si="114"/>
        <v>0.01</v>
      </c>
      <c r="G37" s="58">
        <f t="shared" si="114"/>
        <v>0.01</v>
      </c>
      <c r="H37" s="58">
        <f t="shared" si="114"/>
        <v>0.01</v>
      </c>
      <c r="I37" s="58">
        <f t="shared" si="114"/>
        <v>0.01</v>
      </c>
      <c r="J37" s="58">
        <f t="shared" si="114"/>
        <v>0.01</v>
      </c>
      <c r="K37" s="63">
        <f t="shared" si="104"/>
        <v>0.01</v>
      </c>
      <c r="L37" s="58">
        <f>J37</f>
        <v>0.01</v>
      </c>
      <c r="M37" s="58">
        <f>L37</f>
        <v>0.01</v>
      </c>
      <c r="N37" s="59">
        <f t="shared" ref="N37:V37" si="115">2.5/100</f>
        <v>0.025</v>
      </c>
      <c r="O37" s="59">
        <f t="shared" si="115"/>
        <v>0.025</v>
      </c>
      <c r="P37" s="59">
        <f t="shared" si="115"/>
        <v>0.025</v>
      </c>
      <c r="Q37" s="59">
        <f t="shared" si="115"/>
        <v>0.025</v>
      </c>
      <c r="R37" s="59">
        <f t="shared" si="115"/>
        <v>0.025</v>
      </c>
      <c r="S37" s="59">
        <f t="shared" si="115"/>
        <v>0.025</v>
      </c>
      <c r="T37" s="59">
        <f t="shared" si="115"/>
        <v>0.025</v>
      </c>
      <c r="U37" s="59">
        <f t="shared" si="115"/>
        <v>0.025</v>
      </c>
      <c r="V37" s="59">
        <f t="shared" si="115"/>
        <v>0.025</v>
      </c>
      <c r="W37" s="59">
        <v>0.2</v>
      </c>
      <c r="X37" s="64">
        <f t="shared" si="106"/>
        <v>0.03708333333</v>
      </c>
      <c r="Y37" s="59">
        <f t="shared" ref="Y37:Z37" si="116">2.5/100</f>
        <v>0.025</v>
      </c>
      <c r="Z37" s="59">
        <f t="shared" si="116"/>
        <v>0.025</v>
      </c>
      <c r="AA37" s="59">
        <v>0.01</v>
      </c>
      <c r="AB37" s="59">
        <v>0.01</v>
      </c>
      <c r="AC37" s="59">
        <v>0.01</v>
      </c>
      <c r="AD37" s="59">
        <v>0.01</v>
      </c>
      <c r="AE37" s="59">
        <v>0.01</v>
      </c>
      <c r="AF37" s="59">
        <v>0.01</v>
      </c>
      <c r="AG37" s="59">
        <v>0.01</v>
      </c>
      <c r="AH37" s="59">
        <v>0.01</v>
      </c>
      <c r="AI37" s="59">
        <v>0.01</v>
      </c>
      <c r="AJ37" s="59">
        <v>0.01</v>
      </c>
      <c r="AK37" s="64">
        <f t="shared" si="108"/>
        <v>0.0125</v>
      </c>
      <c r="AL37" s="59">
        <v>0.01</v>
      </c>
      <c r="AM37" s="59">
        <v>0.01</v>
      </c>
      <c r="AN37" s="59">
        <v>0.01</v>
      </c>
      <c r="AO37" s="59">
        <v>0.01</v>
      </c>
      <c r="AP37" s="59">
        <v>0.01</v>
      </c>
      <c r="AQ37" s="59">
        <v>0.01</v>
      </c>
      <c r="AR37" s="59">
        <v>0.01</v>
      </c>
      <c r="AS37" s="59">
        <v>0.01</v>
      </c>
      <c r="AT37" s="59">
        <v>0.01</v>
      </c>
      <c r="AU37" s="59">
        <v>0.01</v>
      </c>
      <c r="AV37" s="59">
        <v>0.01</v>
      </c>
      <c r="AW37" s="59">
        <v>0.01</v>
      </c>
      <c r="AX37" s="64">
        <f t="shared" si="109"/>
        <v>0.01</v>
      </c>
      <c r="AY37" s="24" t="s">
        <v>18</v>
      </c>
    </row>
    <row r="38">
      <c r="A38" s="53" t="s">
        <v>46</v>
      </c>
      <c r="B38" s="61">
        <f t="shared" ref="B38:J38" si="117">ROUND((B23*B36)+(B25*B34),0)</f>
        <v>7667801</v>
      </c>
      <c r="C38" s="61">
        <f t="shared" si="117"/>
        <v>6821397</v>
      </c>
      <c r="D38" s="61">
        <f t="shared" si="117"/>
        <v>9127967</v>
      </c>
      <c r="E38" s="61">
        <f t="shared" si="117"/>
        <v>10176704</v>
      </c>
      <c r="F38" s="61">
        <f t="shared" si="117"/>
        <v>9460043</v>
      </c>
      <c r="G38" s="61">
        <f t="shared" si="117"/>
        <v>10356505</v>
      </c>
      <c r="H38" s="61">
        <f t="shared" si="117"/>
        <v>11906948</v>
      </c>
      <c r="I38" s="61">
        <f t="shared" si="117"/>
        <v>13626796</v>
      </c>
      <c r="J38" s="61">
        <f t="shared" si="117"/>
        <v>16103279</v>
      </c>
      <c r="K38" s="62">
        <f>SUM(B38:J38)</f>
        <v>95247440</v>
      </c>
      <c r="L38" s="61">
        <f t="shared" ref="L38:W38" si="118">ROUND((L23*L36)+(L25*L34),0)</f>
        <v>19663655</v>
      </c>
      <c r="M38" s="61">
        <f t="shared" si="118"/>
        <v>23982487</v>
      </c>
      <c r="N38" s="61">
        <f t="shared" si="118"/>
        <v>29365859</v>
      </c>
      <c r="O38" s="61">
        <f t="shared" si="118"/>
        <v>34360130</v>
      </c>
      <c r="P38" s="61">
        <f t="shared" si="118"/>
        <v>39595192</v>
      </c>
      <c r="Q38" s="61">
        <f t="shared" si="118"/>
        <v>45158030</v>
      </c>
      <c r="R38" s="61">
        <f t="shared" si="118"/>
        <v>49676237</v>
      </c>
      <c r="S38" s="61">
        <f t="shared" si="118"/>
        <v>54192162</v>
      </c>
      <c r="T38" s="61">
        <f t="shared" si="118"/>
        <v>58770469</v>
      </c>
      <c r="U38" s="61">
        <f t="shared" si="118"/>
        <v>63730409</v>
      </c>
      <c r="V38" s="61">
        <f t="shared" si="118"/>
        <v>68895722</v>
      </c>
      <c r="W38" s="61">
        <f t="shared" si="118"/>
        <v>72785907</v>
      </c>
      <c r="X38" s="14">
        <f>SUM(L38:W38)</f>
        <v>560176259</v>
      </c>
      <c r="Y38" s="61">
        <f t="shared" ref="Y38:AJ38" si="119">ROUND((Y23*Y36)+(Y25*Y34),0)</f>
        <v>84630729</v>
      </c>
      <c r="Z38" s="61">
        <f t="shared" si="119"/>
        <v>90565072</v>
      </c>
      <c r="AA38" s="61">
        <f t="shared" si="119"/>
        <v>97087092</v>
      </c>
      <c r="AB38" s="61">
        <f t="shared" si="119"/>
        <v>102691272</v>
      </c>
      <c r="AC38" s="61">
        <f t="shared" si="119"/>
        <v>108809185</v>
      </c>
      <c r="AD38" s="61">
        <f t="shared" si="119"/>
        <v>115424285</v>
      </c>
      <c r="AE38" s="61">
        <f t="shared" si="119"/>
        <v>122653532</v>
      </c>
      <c r="AF38" s="61">
        <f t="shared" si="119"/>
        <v>130504369</v>
      </c>
      <c r="AG38" s="61">
        <f t="shared" si="119"/>
        <v>139122726</v>
      </c>
      <c r="AH38" s="61">
        <f t="shared" si="119"/>
        <v>146792959</v>
      </c>
      <c r="AI38" s="61">
        <f t="shared" si="119"/>
        <v>154102577</v>
      </c>
      <c r="AJ38" s="61">
        <f t="shared" si="119"/>
        <v>161375795</v>
      </c>
      <c r="AK38" s="14">
        <f>SUM(Y38:AJ38)</f>
        <v>1453759593</v>
      </c>
      <c r="AL38" s="61">
        <f t="shared" ref="AL38:AW38" si="120">ROUND((AL23*AL36)+(AL25*AL34),0)</f>
        <v>168856151</v>
      </c>
      <c r="AM38" s="61">
        <f t="shared" si="120"/>
        <v>176583155</v>
      </c>
      <c r="AN38" s="61">
        <f t="shared" si="120"/>
        <v>184680364</v>
      </c>
      <c r="AO38" s="61">
        <f t="shared" si="120"/>
        <v>193189304</v>
      </c>
      <c r="AP38" s="61">
        <f t="shared" si="120"/>
        <v>202135030</v>
      </c>
      <c r="AQ38" s="61">
        <f t="shared" si="120"/>
        <v>211606299</v>
      </c>
      <c r="AR38" s="61">
        <f t="shared" si="120"/>
        <v>221554364</v>
      </c>
      <c r="AS38" s="61">
        <f t="shared" si="120"/>
        <v>232062776</v>
      </c>
      <c r="AT38" s="61">
        <f t="shared" si="120"/>
        <v>243148686</v>
      </c>
      <c r="AU38" s="61">
        <f t="shared" si="120"/>
        <v>254828059</v>
      </c>
      <c r="AV38" s="61">
        <f t="shared" si="120"/>
        <v>267191258</v>
      </c>
      <c r="AW38" s="61">
        <f t="shared" si="120"/>
        <v>280255537</v>
      </c>
      <c r="AX38" s="14">
        <f>SUM(AL38:AW38)</f>
        <v>2636090983</v>
      </c>
      <c r="AY38" s="15">
        <f>K38+X38+AK38+AX38</f>
        <v>4745274275</v>
      </c>
    </row>
    <row r="39">
      <c r="A39" s="12" t="s">
        <v>47</v>
      </c>
      <c r="B39" s="65">
        <v>0.68</v>
      </c>
      <c r="C39" s="65">
        <f t="shared" ref="C39:J39" si="121">B39*(1+B40)</f>
        <v>0.600032</v>
      </c>
      <c r="D39" s="65">
        <f t="shared" si="121"/>
        <v>0.600032</v>
      </c>
      <c r="E39" s="65">
        <f t="shared" si="121"/>
        <v>0.600032</v>
      </c>
      <c r="F39" s="65">
        <f t="shared" si="121"/>
        <v>0.600032</v>
      </c>
      <c r="G39" s="65">
        <f t="shared" si="121"/>
        <v>0.600032</v>
      </c>
      <c r="H39" s="65">
        <f t="shared" si="121"/>
        <v>0.600032</v>
      </c>
      <c r="I39" s="65">
        <f t="shared" si="121"/>
        <v>0.600032</v>
      </c>
      <c r="J39" s="65">
        <f t="shared" si="121"/>
        <v>0.600032</v>
      </c>
      <c r="K39" s="66">
        <f t="shared" ref="K39:K40" si="126">AVERAGE(B39:J39)</f>
        <v>0.6089173333</v>
      </c>
      <c r="L39" s="65">
        <f>J39*(1+J40)</f>
        <v>0.600032</v>
      </c>
      <c r="M39" s="65">
        <f t="shared" ref="M39:W39" si="122">L39*(1+L40)</f>
        <v>0.600032</v>
      </c>
      <c r="N39" s="65">
        <f t="shared" si="122"/>
        <v>0.600032</v>
      </c>
      <c r="O39" s="65">
        <f t="shared" si="122"/>
        <v>0.600032</v>
      </c>
      <c r="P39" s="65">
        <f t="shared" si="122"/>
        <v>0.600032</v>
      </c>
      <c r="Q39" s="65">
        <f t="shared" si="122"/>
        <v>0.600032</v>
      </c>
      <c r="R39" s="65">
        <f t="shared" si="122"/>
        <v>0.600032</v>
      </c>
      <c r="S39" s="65">
        <f t="shared" si="122"/>
        <v>0.600032</v>
      </c>
      <c r="T39" s="65">
        <f t="shared" si="122"/>
        <v>0.600032</v>
      </c>
      <c r="U39" s="65">
        <f t="shared" si="122"/>
        <v>0.600032</v>
      </c>
      <c r="V39" s="65">
        <f t="shared" si="122"/>
        <v>0.600032</v>
      </c>
      <c r="W39" s="65">
        <f t="shared" si="122"/>
        <v>0.600032</v>
      </c>
      <c r="X39" s="67">
        <f>AVERAGE(L39:W39)</f>
        <v>0.600032</v>
      </c>
      <c r="Y39" s="65">
        <f>W39*(1+W40)</f>
        <v>0.600032</v>
      </c>
      <c r="Z39" s="65">
        <f t="shared" ref="Z39:AJ39" si="123">Y39*(1+Y40)</f>
        <v>0.600032</v>
      </c>
      <c r="AA39" s="65">
        <f t="shared" si="123"/>
        <v>0.600032</v>
      </c>
      <c r="AB39" s="65">
        <f t="shared" si="123"/>
        <v>0.600032</v>
      </c>
      <c r="AC39" s="65">
        <f t="shared" si="123"/>
        <v>0.600032</v>
      </c>
      <c r="AD39" s="65">
        <f t="shared" si="123"/>
        <v>0.600032</v>
      </c>
      <c r="AE39" s="65">
        <f t="shared" si="123"/>
        <v>0.600032</v>
      </c>
      <c r="AF39" s="65">
        <f t="shared" si="123"/>
        <v>0.600032</v>
      </c>
      <c r="AG39" s="65">
        <f t="shared" si="123"/>
        <v>0.600032</v>
      </c>
      <c r="AH39" s="65">
        <f t="shared" si="123"/>
        <v>0.600032</v>
      </c>
      <c r="AI39" s="65">
        <f t="shared" si="123"/>
        <v>0.600032</v>
      </c>
      <c r="AJ39" s="65">
        <f t="shared" si="123"/>
        <v>0.600032</v>
      </c>
      <c r="AK39" s="67">
        <f>AVERAGE(Y39:AJ39)</f>
        <v>0.600032</v>
      </c>
      <c r="AL39" s="65">
        <f>AJ39*(1+AJ40)</f>
        <v>0.600032</v>
      </c>
      <c r="AM39" s="65">
        <f t="shared" ref="AM39:AW39" si="124">AL39*(1+AL40)</f>
        <v>0.600032</v>
      </c>
      <c r="AN39" s="65">
        <f t="shared" si="124"/>
        <v>0.600032</v>
      </c>
      <c r="AO39" s="65">
        <f t="shared" si="124"/>
        <v>0.600032</v>
      </c>
      <c r="AP39" s="65">
        <f t="shared" si="124"/>
        <v>0.600032</v>
      </c>
      <c r="AQ39" s="65">
        <f t="shared" si="124"/>
        <v>0.600032</v>
      </c>
      <c r="AR39" s="65">
        <f t="shared" si="124"/>
        <v>0.600032</v>
      </c>
      <c r="AS39" s="65">
        <f t="shared" si="124"/>
        <v>0.600032</v>
      </c>
      <c r="AT39" s="65">
        <f t="shared" si="124"/>
        <v>0.600032</v>
      </c>
      <c r="AU39" s="65">
        <f t="shared" si="124"/>
        <v>0.600032</v>
      </c>
      <c r="AV39" s="65">
        <f t="shared" si="124"/>
        <v>0.600032</v>
      </c>
      <c r="AW39" s="65">
        <f t="shared" si="124"/>
        <v>0.600032</v>
      </c>
      <c r="AX39" s="67">
        <f>AVERAGE(AL39:AW39)</f>
        <v>0.600032</v>
      </c>
      <c r="AY39" s="68">
        <f>AVERAGE(K39,X39,AK39,AX39)</f>
        <v>0.6022533333</v>
      </c>
    </row>
    <row r="40">
      <c r="A40" s="38" t="s">
        <v>48</v>
      </c>
      <c r="B40" s="55">
        <v>-0.1176</v>
      </c>
      <c r="C40" s="55">
        <v>0.0</v>
      </c>
      <c r="D40" s="56">
        <f t="shared" ref="D40:J40" si="125">C40</f>
        <v>0</v>
      </c>
      <c r="E40" s="56">
        <f t="shared" si="125"/>
        <v>0</v>
      </c>
      <c r="F40" s="56">
        <f t="shared" si="125"/>
        <v>0</v>
      </c>
      <c r="G40" s="56">
        <f t="shared" si="125"/>
        <v>0</v>
      </c>
      <c r="H40" s="56">
        <f t="shared" si="125"/>
        <v>0</v>
      </c>
      <c r="I40" s="56">
        <f t="shared" si="125"/>
        <v>0</v>
      </c>
      <c r="J40" s="56">
        <f t="shared" si="125"/>
        <v>0</v>
      </c>
      <c r="K40" s="57">
        <f t="shared" si="126"/>
        <v>-0.01306666667</v>
      </c>
      <c r="L40" s="56">
        <f>J40</f>
        <v>0</v>
      </c>
      <c r="M40" s="56">
        <f t="shared" ref="M40:W40" si="127">L40</f>
        <v>0</v>
      </c>
      <c r="N40" s="56">
        <f t="shared" si="127"/>
        <v>0</v>
      </c>
      <c r="O40" s="56">
        <f t="shared" si="127"/>
        <v>0</v>
      </c>
      <c r="P40" s="56">
        <f t="shared" si="127"/>
        <v>0</v>
      </c>
      <c r="Q40" s="56">
        <f t="shared" si="127"/>
        <v>0</v>
      </c>
      <c r="R40" s="56">
        <f t="shared" si="127"/>
        <v>0</v>
      </c>
      <c r="S40" s="56">
        <f t="shared" si="127"/>
        <v>0</v>
      </c>
      <c r="T40" s="56">
        <f t="shared" si="127"/>
        <v>0</v>
      </c>
      <c r="U40" s="56">
        <f t="shared" si="127"/>
        <v>0</v>
      </c>
      <c r="V40" s="56">
        <f t="shared" si="127"/>
        <v>0</v>
      </c>
      <c r="W40" s="56">
        <f t="shared" si="127"/>
        <v>0</v>
      </c>
      <c r="X40" s="22">
        <f>AVERAGE(O40:W40)</f>
        <v>0</v>
      </c>
      <c r="Y40" s="56">
        <f>W40</f>
        <v>0</v>
      </c>
      <c r="Z40" s="56">
        <f t="shared" ref="Z40:AJ40" si="128">Y40</f>
        <v>0</v>
      </c>
      <c r="AA40" s="56">
        <f t="shared" si="128"/>
        <v>0</v>
      </c>
      <c r="AB40" s="56">
        <f t="shared" si="128"/>
        <v>0</v>
      </c>
      <c r="AC40" s="56">
        <f t="shared" si="128"/>
        <v>0</v>
      </c>
      <c r="AD40" s="56">
        <f t="shared" si="128"/>
        <v>0</v>
      </c>
      <c r="AE40" s="56">
        <f t="shared" si="128"/>
        <v>0</v>
      </c>
      <c r="AF40" s="56">
        <f t="shared" si="128"/>
        <v>0</v>
      </c>
      <c r="AG40" s="56">
        <f t="shared" si="128"/>
        <v>0</v>
      </c>
      <c r="AH40" s="56">
        <f t="shared" si="128"/>
        <v>0</v>
      </c>
      <c r="AI40" s="56">
        <f t="shared" si="128"/>
        <v>0</v>
      </c>
      <c r="AJ40" s="56">
        <f t="shared" si="128"/>
        <v>0</v>
      </c>
      <c r="AK40" s="22">
        <f>AVERAGE(AB40:AJ40)</f>
        <v>0</v>
      </c>
      <c r="AL40" s="56">
        <f>AJ40</f>
        <v>0</v>
      </c>
      <c r="AM40" s="56">
        <f t="shared" ref="AM40:AW40" si="129">AL40</f>
        <v>0</v>
      </c>
      <c r="AN40" s="56">
        <f t="shared" si="129"/>
        <v>0</v>
      </c>
      <c r="AO40" s="56">
        <f t="shared" si="129"/>
        <v>0</v>
      </c>
      <c r="AP40" s="56">
        <f t="shared" si="129"/>
        <v>0</v>
      </c>
      <c r="AQ40" s="56">
        <f t="shared" si="129"/>
        <v>0</v>
      </c>
      <c r="AR40" s="56">
        <f t="shared" si="129"/>
        <v>0</v>
      </c>
      <c r="AS40" s="56">
        <f t="shared" si="129"/>
        <v>0</v>
      </c>
      <c r="AT40" s="56">
        <f t="shared" si="129"/>
        <v>0</v>
      </c>
      <c r="AU40" s="56">
        <f t="shared" si="129"/>
        <v>0</v>
      </c>
      <c r="AV40" s="56">
        <f t="shared" si="129"/>
        <v>0</v>
      </c>
      <c r="AW40" s="56">
        <f t="shared" si="129"/>
        <v>0</v>
      </c>
      <c r="AX40" s="22">
        <f>AVERAGE(AO40:AW40)</f>
        <v>0</v>
      </c>
      <c r="AY40" s="60">
        <v>0.0</v>
      </c>
    </row>
    <row r="41">
      <c r="A41" s="69" t="s">
        <v>49</v>
      </c>
      <c r="B41" s="70">
        <f t="shared" ref="B41:AY41" si="130">1-B39</f>
        <v>0.32</v>
      </c>
      <c r="C41" s="70">
        <f t="shared" si="130"/>
        <v>0.399968</v>
      </c>
      <c r="D41" s="70">
        <f t="shared" si="130"/>
        <v>0.399968</v>
      </c>
      <c r="E41" s="70">
        <f t="shared" si="130"/>
        <v>0.399968</v>
      </c>
      <c r="F41" s="70">
        <f t="shared" si="130"/>
        <v>0.399968</v>
      </c>
      <c r="G41" s="70">
        <f t="shared" si="130"/>
        <v>0.399968</v>
      </c>
      <c r="H41" s="70">
        <f t="shared" si="130"/>
        <v>0.399968</v>
      </c>
      <c r="I41" s="70">
        <f t="shared" si="130"/>
        <v>0.399968</v>
      </c>
      <c r="J41" s="70">
        <f t="shared" si="130"/>
        <v>0.399968</v>
      </c>
      <c r="K41" s="71">
        <f t="shared" si="130"/>
        <v>0.3910826667</v>
      </c>
      <c r="L41" s="70">
        <f t="shared" si="130"/>
        <v>0.399968</v>
      </c>
      <c r="M41" s="70">
        <f t="shared" si="130"/>
        <v>0.399968</v>
      </c>
      <c r="N41" s="70">
        <f t="shared" si="130"/>
        <v>0.399968</v>
      </c>
      <c r="O41" s="70">
        <f t="shared" si="130"/>
        <v>0.399968</v>
      </c>
      <c r="P41" s="70">
        <f t="shared" si="130"/>
        <v>0.399968</v>
      </c>
      <c r="Q41" s="70">
        <f t="shared" si="130"/>
        <v>0.399968</v>
      </c>
      <c r="R41" s="70">
        <f t="shared" si="130"/>
        <v>0.399968</v>
      </c>
      <c r="S41" s="70">
        <f t="shared" si="130"/>
        <v>0.399968</v>
      </c>
      <c r="T41" s="70">
        <f t="shared" si="130"/>
        <v>0.399968</v>
      </c>
      <c r="U41" s="70">
        <f t="shared" si="130"/>
        <v>0.399968</v>
      </c>
      <c r="V41" s="70">
        <f t="shared" si="130"/>
        <v>0.399968</v>
      </c>
      <c r="W41" s="70">
        <f t="shared" si="130"/>
        <v>0.399968</v>
      </c>
      <c r="X41" s="72">
        <f t="shared" si="130"/>
        <v>0.399968</v>
      </c>
      <c r="Y41" s="70">
        <f t="shared" si="130"/>
        <v>0.399968</v>
      </c>
      <c r="Z41" s="70">
        <f t="shared" si="130"/>
        <v>0.399968</v>
      </c>
      <c r="AA41" s="70">
        <f t="shared" si="130"/>
        <v>0.399968</v>
      </c>
      <c r="AB41" s="70">
        <f t="shared" si="130"/>
        <v>0.399968</v>
      </c>
      <c r="AC41" s="70">
        <f t="shared" si="130"/>
        <v>0.399968</v>
      </c>
      <c r="AD41" s="70">
        <f t="shared" si="130"/>
        <v>0.399968</v>
      </c>
      <c r="AE41" s="70">
        <f t="shared" si="130"/>
        <v>0.399968</v>
      </c>
      <c r="AF41" s="70">
        <f t="shared" si="130"/>
        <v>0.399968</v>
      </c>
      <c r="AG41" s="70">
        <f t="shared" si="130"/>
        <v>0.399968</v>
      </c>
      <c r="AH41" s="70">
        <f t="shared" si="130"/>
        <v>0.399968</v>
      </c>
      <c r="AI41" s="70">
        <f t="shared" si="130"/>
        <v>0.399968</v>
      </c>
      <c r="AJ41" s="70">
        <f t="shared" si="130"/>
        <v>0.399968</v>
      </c>
      <c r="AK41" s="72">
        <f t="shared" si="130"/>
        <v>0.399968</v>
      </c>
      <c r="AL41" s="70">
        <f t="shared" si="130"/>
        <v>0.399968</v>
      </c>
      <c r="AM41" s="70">
        <f t="shared" si="130"/>
        <v>0.399968</v>
      </c>
      <c r="AN41" s="70">
        <f t="shared" si="130"/>
        <v>0.399968</v>
      </c>
      <c r="AO41" s="70">
        <f t="shared" si="130"/>
        <v>0.399968</v>
      </c>
      <c r="AP41" s="70">
        <f t="shared" si="130"/>
        <v>0.399968</v>
      </c>
      <c r="AQ41" s="70">
        <f t="shared" si="130"/>
        <v>0.399968</v>
      </c>
      <c r="AR41" s="70">
        <f t="shared" si="130"/>
        <v>0.399968</v>
      </c>
      <c r="AS41" s="70">
        <f t="shared" si="130"/>
        <v>0.399968</v>
      </c>
      <c r="AT41" s="70">
        <f t="shared" si="130"/>
        <v>0.399968</v>
      </c>
      <c r="AU41" s="70">
        <f t="shared" si="130"/>
        <v>0.399968</v>
      </c>
      <c r="AV41" s="70">
        <f t="shared" si="130"/>
        <v>0.399968</v>
      </c>
      <c r="AW41" s="70">
        <f t="shared" si="130"/>
        <v>0.399968</v>
      </c>
      <c r="AX41" s="72">
        <f t="shared" si="130"/>
        <v>0.399968</v>
      </c>
      <c r="AY41" s="73">
        <f t="shared" si="130"/>
        <v>0.3977466667</v>
      </c>
    </row>
    <row r="42">
      <c r="A42" s="74" t="s">
        <v>50</v>
      </c>
      <c r="B42" s="75">
        <v>0.055</v>
      </c>
      <c r="C42" s="75">
        <v>0.06</v>
      </c>
      <c r="D42" s="75">
        <v>0.06</v>
      </c>
      <c r="E42" s="75">
        <v>0.06</v>
      </c>
      <c r="F42" s="75">
        <v>0.06</v>
      </c>
      <c r="G42" s="75">
        <v>0.06</v>
      </c>
      <c r="H42" s="75">
        <v>0.06</v>
      </c>
      <c r="I42" s="75">
        <v>0.06</v>
      </c>
      <c r="J42" s="75">
        <v>0.06</v>
      </c>
      <c r="K42" s="71">
        <f t="shared" ref="K42:K43" si="131">AVERAGE(B42:J42)</f>
        <v>0.05944444444</v>
      </c>
      <c r="L42" s="75">
        <v>0.08</v>
      </c>
      <c r="M42" s="75">
        <v>0.08</v>
      </c>
      <c r="N42" s="75">
        <v>0.08</v>
      </c>
      <c r="O42" s="75">
        <v>0.08</v>
      </c>
      <c r="P42" s="75">
        <v>0.08</v>
      </c>
      <c r="Q42" s="75">
        <v>0.08</v>
      </c>
      <c r="R42" s="75">
        <v>0.08</v>
      </c>
      <c r="S42" s="75">
        <v>0.08</v>
      </c>
      <c r="T42" s="75">
        <v>0.08</v>
      </c>
      <c r="U42" s="75">
        <v>0.08</v>
      </c>
      <c r="V42" s="75">
        <v>0.08</v>
      </c>
      <c r="W42" s="75">
        <v>0.08</v>
      </c>
      <c r="X42" s="72">
        <f t="shared" ref="X42:X43" si="132">AVERAGE(L42:W42)</f>
        <v>0.08</v>
      </c>
      <c r="Y42" s="75">
        <v>0.09</v>
      </c>
      <c r="Z42" s="75">
        <v>0.09</v>
      </c>
      <c r="AA42" s="75">
        <v>0.09</v>
      </c>
      <c r="AB42" s="75">
        <v>0.09</v>
      </c>
      <c r="AC42" s="75">
        <v>0.09</v>
      </c>
      <c r="AD42" s="75">
        <v>0.09</v>
      </c>
      <c r="AE42" s="75">
        <v>0.09</v>
      </c>
      <c r="AF42" s="75">
        <v>0.09</v>
      </c>
      <c r="AG42" s="75">
        <v>0.09</v>
      </c>
      <c r="AH42" s="75">
        <v>0.09</v>
      </c>
      <c r="AI42" s="75">
        <v>0.09</v>
      </c>
      <c r="AJ42" s="75">
        <v>0.09</v>
      </c>
      <c r="AK42" s="72">
        <f t="shared" ref="AK42:AK43" si="133">AVERAGE(Y42:AJ42)</f>
        <v>0.09</v>
      </c>
      <c r="AL42" s="75">
        <v>0.1</v>
      </c>
      <c r="AM42" s="75">
        <v>0.1</v>
      </c>
      <c r="AN42" s="75">
        <v>0.1</v>
      </c>
      <c r="AO42" s="75">
        <v>0.1</v>
      </c>
      <c r="AP42" s="75">
        <v>0.1</v>
      </c>
      <c r="AQ42" s="75">
        <v>0.1</v>
      </c>
      <c r="AR42" s="75">
        <v>0.1</v>
      </c>
      <c r="AS42" s="75">
        <v>0.1</v>
      </c>
      <c r="AT42" s="75">
        <v>0.1</v>
      </c>
      <c r="AU42" s="75">
        <v>0.1</v>
      </c>
      <c r="AV42" s="75">
        <v>0.1</v>
      </c>
      <c r="AW42" s="75">
        <v>0.1</v>
      </c>
      <c r="AX42" s="72">
        <f t="shared" ref="AX42:AX43" si="134">AVERAGE(AL42:AW42)</f>
        <v>0.1</v>
      </c>
      <c r="AY42" s="73">
        <f t="shared" ref="AY42:AY43" si="135">AVERAGE(K42,X42,AK42,AX42)</f>
        <v>0.08236111111</v>
      </c>
    </row>
    <row r="43">
      <c r="A43" s="76" t="s">
        <v>51</v>
      </c>
      <c r="B43" s="77">
        <v>0.0239</v>
      </c>
      <c r="C43" s="77">
        <v>0.04</v>
      </c>
      <c r="D43" s="77">
        <v>0.04</v>
      </c>
      <c r="E43" s="77">
        <v>0.04</v>
      </c>
      <c r="F43" s="77">
        <v>0.04</v>
      </c>
      <c r="G43" s="77">
        <v>0.04</v>
      </c>
      <c r="H43" s="77">
        <v>0.04</v>
      </c>
      <c r="I43" s="77">
        <v>0.04</v>
      </c>
      <c r="J43" s="77">
        <v>0.04</v>
      </c>
      <c r="K43" s="78">
        <f t="shared" si="131"/>
        <v>0.03821111111</v>
      </c>
      <c r="L43" s="77">
        <v>0.04</v>
      </c>
      <c r="M43" s="77">
        <v>0.04</v>
      </c>
      <c r="N43" s="77">
        <v>0.04</v>
      </c>
      <c r="O43" s="77">
        <v>0.04</v>
      </c>
      <c r="P43" s="77">
        <v>0.04</v>
      </c>
      <c r="Q43" s="77">
        <v>0.04</v>
      </c>
      <c r="R43" s="77">
        <v>0.04</v>
      </c>
      <c r="S43" s="77">
        <v>0.04</v>
      </c>
      <c r="T43" s="77">
        <v>0.04</v>
      </c>
      <c r="U43" s="77">
        <v>0.04</v>
      </c>
      <c r="V43" s="77">
        <v>0.04</v>
      </c>
      <c r="W43" s="77">
        <v>0.04</v>
      </c>
      <c r="X43" s="79">
        <f t="shared" si="132"/>
        <v>0.04</v>
      </c>
      <c r="Y43" s="77">
        <v>0.04</v>
      </c>
      <c r="Z43" s="77">
        <v>0.04</v>
      </c>
      <c r="AA43" s="77">
        <v>0.04</v>
      </c>
      <c r="AB43" s="77">
        <v>0.04</v>
      </c>
      <c r="AC43" s="77">
        <v>0.04</v>
      </c>
      <c r="AD43" s="77">
        <v>0.04</v>
      </c>
      <c r="AE43" s="77">
        <v>0.04</v>
      </c>
      <c r="AF43" s="77">
        <v>0.04</v>
      </c>
      <c r="AG43" s="77">
        <v>0.04</v>
      </c>
      <c r="AH43" s="77">
        <v>0.04</v>
      </c>
      <c r="AI43" s="77">
        <v>0.04</v>
      </c>
      <c r="AJ43" s="77">
        <v>0.04</v>
      </c>
      <c r="AK43" s="79">
        <f t="shared" si="133"/>
        <v>0.04</v>
      </c>
      <c r="AL43" s="77">
        <v>0.04</v>
      </c>
      <c r="AM43" s="77">
        <v>0.04</v>
      </c>
      <c r="AN43" s="77">
        <v>0.04</v>
      </c>
      <c r="AO43" s="77">
        <v>0.04</v>
      </c>
      <c r="AP43" s="77">
        <v>0.04</v>
      </c>
      <c r="AQ43" s="77">
        <v>0.04</v>
      </c>
      <c r="AR43" s="77">
        <v>0.04</v>
      </c>
      <c r="AS43" s="77">
        <v>0.04</v>
      </c>
      <c r="AT43" s="77">
        <v>0.04</v>
      </c>
      <c r="AU43" s="77">
        <v>0.04</v>
      </c>
      <c r="AV43" s="77">
        <v>0.04</v>
      </c>
      <c r="AW43" s="77">
        <v>0.04</v>
      </c>
      <c r="AX43" s="79">
        <f t="shared" si="134"/>
        <v>0.04</v>
      </c>
      <c r="AY43" s="80">
        <f t="shared" si="135"/>
        <v>0.03955277778</v>
      </c>
    </row>
    <row r="44">
      <c r="A44" s="81" t="s">
        <v>52</v>
      </c>
      <c r="B44" s="82">
        <f t="shared" ref="B44:J44" si="136">ROUND((B38*B39*B43)+(B38*B41*B42),0)</f>
        <v>259570</v>
      </c>
      <c r="C44" s="82">
        <f t="shared" si="136"/>
        <v>327423</v>
      </c>
      <c r="D44" s="82">
        <f t="shared" si="136"/>
        <v>438137</v>
      </c>
      <c r="E44" s="82">
        <f t="shared" si="136"/>
        <v>488475</v>
      </c>
      <c r="F44" s="82">
        <f t="shared" si="136"/>
        <v>454076</v>
      </c>
      <c r="G44" s="82">
        <f t="shared" si="136"/>
        <v>497106</v>
      </c>
      <c r="H44" s="82">
        <f t="shared" si="136"/>
        <v>571526</v>
      </c>
      <c r="I44" s="82">
        <f t="shared" si="136"/>
        <v>654077</v>
      </c>
      <c r="J44" s="82">
        <f t="shared" si="136"/>
        <v>772947</v>
      </c>
      <c r="K44" s="41">
        <f>B44+C44+D44+E44+F44+G44+H44+I44+J44</f>
        <v>4463337</v>
      </c>
      <c r="L44" s="82">
        <f t="shared" ref="L44:W44" si="137">ROUND((L38*L39*L43)+(L38*L41*L42),0)</f>
        <v>1101140</v>
      </c>
      <c r="M44" s="82">
        <f t="shared" si="137"/>
        <v>1342989</v>
      </c>
      <c r="N44" s="82">
        <f t="shared" si="137"/>
        <v>1644451</v>
      </c>
      <c r="O44" s="82">
        <f t="shared" si="137"/>
        <v>1924123</v>
      </c>
      <c r="P44" s="82">
        <f t="shared" si="137"/>
        <v>2217280</v>
      </c>
      <c r="Q44" s="82">
        <f t="shared" si="137"/>
        <v>2528792</v>
      </c>
      <c r="R44" s="82">
        <f t="shared" si="137"/>
        <v>2781806</v>
      </c>
      <c r="S44" s="82">
        <f t="shared" si="137"/>
        <v>3034692</v>
      </c>
      <c r="T44" s="82">
        <f t="shared" si="137"/>
        <v>3291071</v>
      </c>
      <c r="U44" s="82">
        <f t="shared" si="137"/>
        <v>3568821</v>
      </c>
      <c r="V44" s="82">
        <f t="shared" si="137"/>
        <v>3858072</v>
      </c>
      <c r="W44" s="82">
        <f t="shared" si="137"/>
        <v>4075918</v>
      </c>
      <c r="X44" s="42">
        <f>L44+M44+N44+O44+P44+Q44+R44+S44+T44+U44+V44+W44</f>
        <v>31369155</v>
      </c>
      <c r="Y44" s="82">
        <f t="shared" ref="Y44:AJ44" si="138">ROUND((Y38*Y39*Y43)+(Y38*Y41*Y42),0)</f>
        <v>5077708</v>
      </c>
      <c r="Z44" s="82">
        <f t="shared" si="138"/>
        <v>5433759</v>
      </c>
      <c r="AA44" s="82">
        <f t="shared" si="138"/>
        <v>5825070</v>
      </c>
      <c r="AB44" s="82">
        <f t="shared" si="138"/>
        <v>6161312</v>
      </c>
      <c r="AC44" s="82">
        <f t="shared" si="138"/>
        <v>6528377</v>
      </c>
      <c r="AD44" s="82">
        <f t="shared" si="138"/>
        <v>6925272</v>
      </c>
      <c r="AE44" s="82">
        <f t="shared" si="138"/>
        <v>7359016</v>
      </c>
      <c r="AF44" s="82">
        <f t="shared" si="138"/>
        <v>7830053</v>
      </c>
      <c r="AG44" s="82">
        <f t="shared" si="138"/>
        <v>8347141</v>
      </c>
      <c r="AH44" s="82">
        <f t="shared" si="138"/>
        <v>8807343</v>
      </c>
      <c r="AI44" s="82">
        <f t="shared" si="138"/>
        <v>9245908</v>
      </c>
      <c r="AJ44" s="82">
        <f t="shared" si="138"/>
        <v>9682289</v>
      </c>
      <c r="AK44" s="42">
        <f>Y44+Z44+AA44+AB44+AC44+AD44+AE44+AF44+AG44+AH44+AI44+AJ44</f>
        <v>87223248</v>
      </c>
      <c r="AL44" s="82">
        <f t="shared" ref="AL44:AW44" si="139">ROUND((AL38*AL39*AL43)+(AL38*AL41*AL42),0)</f>
        <v>10806469</v>
      </c>
      <c r="AM44" s="82">
        <f t="shared" si="139"/>
        <v>11300983</v>
      </c>
      <c r="AN44" s="82">
        <f t="shared" si="139"/>
        <v>11819189</v>
      </c>
      <c r="AO44" s="82">
        <f t="shared" si="139"/>
        <v>12363745</v>
      </c>
      <c r="AP44" s="82">
        <f t="shared" si="139"/>
        <v>12936254</v>
      </c>
      <c r="AQ44" s="82">
        <f t="shared" si="139"/>
        <v>13542397</v>
      </c>
      <c r="AR44" s="82">
        <f t="shared" si="139"/>
        <v>14179054</v>
      </c>
      <c r="AS44" s="82">
        <f t="shared" si="139"/>
        <v>14851572</v>
      </c>
      <c r="AT44" s="82">
        <f t="shared" si="139"/>
        <v>15561049</v>
      </c>
      <c r="AU44" s="82">
        <f t="shared" si="139"/>
        <v>16308507</v>
      </c>
      <c r="AV44" s="82">
        <f t="shared" si="139"/>
        <v>17099728</v>
      </c>
      <c r="AW44" s="82">
        <f t="shared" si="139"/>
        <v>17935816</v>
      </c>
      <c r="AX44" s="42">
        <f>AL44+AM44+AN44+AO44+AP44+AQ44+AR44+AS44+AT44+AU44+AV44+AW44</f>
        <v>168704763</v>
      </c>
      <c r="AY44" s="43">
        <f t="shared" ref="AY44:AY45" si="144">K44+X44+AK44+AX44</f>
        <v>291760503</v>
      </c>
    </row>
    <row r="45">
      <c r="A45" s="38" t="s">
        <v>53</v>
      </c>
      <c r="B45" s="83">
        <f t="shared" ref="B45:J45" si="140">B44/5</f>
        <v>51914</v>
      </c>
      <c r="C45" s="83">
        <f t="shared" si="140"/>
        <v>65484.6</v>
      </c>
      <c r="D45" s="83">
        <f t="shared" si="140"/>
        <v>87627.4</v>
      </c>
      <c r="E45" s="83">
        <f t="shared" si="140"/>
        <v>97695</v>
      </c>
      <c r="F45" s="83">
        <f t="shared" si="140"/>
        <v>90815.2</v>
      </c>
      <c r="G45" s="83">
        <f t="shared" si="140"/>
        <v>99421.2</v>
      </c>
      <c r="H45" s="83">
        <f t="shared" si="140"/>
        <v>114305.2</v>
      </c>
      <c r="I45" s="83">
        <f t="shared" si="140"/>
        <v>130815.4</v>
      </c>
      <c r="J45" s="83">
        <f t="shared" si="140"/>
        <v>154589.4</v>
      </c>
      <c r="K45" s="84">
        <f>SUM(B45:J45)</f>
        <v>892667.4</v>
      </c>
      <c r="L45" s="83">
        <f t="shared" ref="L45:W45" si="141">L44/5</f>
        <v>220228</v>
      </c>
      <c r="M45" s="83">
        <f t="shared" si="141"/>
        <v>268597.8</v>
      </c>
      <c r="N45" s="83">
        <f t="shared" si="141"/>
        <v>328890.2</v>
      </c>
      <c r="O45" s="83">
        <f t="shared" si="141"/>
        <v>384824.6</v>
      </c>
      <c r="P45" s="83">
        <f t="shared" si="141"/>
        <v>443456</v>
      </c>
      <c r="Q45" s="83">
        <f t="shared" si="141"/>
        <v>505758.4</v>
      </c>
      <c r="R45" s="83">
        <f t="shared" si="141"/>
        <v>556361.2</v>
      </c>
      <c r="S45" s="83">
        <f t="shared" si="141"/>
        <v>606938.4</v>
      </c>
      <c r="T45" s="83">
        <f t="shared" si="141"/>
        <v>658214.2</v>
      </c>
      <c r="U45" s="83">
        <f t="shared" si="141"/>
        <v>713764.2</v>
      </c>
      <c r="V45" s="83">
        <f t="shared" si="141"/>
        <v>771614.4</v>
      </c>
      <c r="W45" s="83">
        <f t="shared" si="141"/>
        <v>815183.6</v>
      </c>
      <c r="X45" s="85">
        <f>SUM(L45:W45)</f>
        <v>6273831</v>
      </c>
      <c r="Y45" s="83">
        <f t="shared" ref="Y45:AJ45" si="142">Y44/5</f>
        <v>1015541.6</v>
      </c>
      <c r="Z45" s="83">
        <f t="shared" si="142"/>
        <v>1086751.8</v>
      </c>
      <c r="AA45" s="83">
        <f t="shared" si="142"/>
        <v>1165014</v>
      </c>
      <c r="AB45" s="83">
        <f t="shared" si="142"/>
        <v>1232262.4</v>
      </c>
      <c r="AC45" s="83">
        <f t="shared" si="142"/>
        <v>1305675.4</v>
      </c>
      <c r="AD45" s="83">
        <f t="shared" si="142"/>
        <v>1385054.4</v>
      </c>
      <c r="AE45" s="83">
        <f t="shared" si="142"/>
        <v>1471803.2</v>
      </c>
      <c r="AF45" s="83">
        <f t="shared" si="142"/>
        <v>1566010.6</v>
      </c>
      <c r="AG45" s="83">
        <f t="shared" si="142"/>
        <v>1669428.2</v>
      </c>
      <c r="AH45" s="83">
        <f t="shared" si="142"/>
        <v>1761468.6</v>
      </c>
      <c r="AI45" s="83">
        <f t="shared" si="142"/>
        <v>1849181.6</v>
      </c>
      <c r="AJ45" s="83">
        <f t="shared" si="142"/>
        <v>1936457.8</v>
      </c>
      <c r="AK45" s="85">
        <f>SUM(Y45:AJ45)</f>
        <v>17444649.6</v>
      </c>
      <c r="AL45" s="83">
        <f t="shared" ref="AL45:AW45" si="143">AL44/5</f>
        <v>2161293.8</v>
      </c>
      <c r="AM45" s="83">
        <f t="shared" si="143"/>
        <v>2260196.6</v>
      </c>
      <c r="AN45" s="83">
        <f t="shared" si="143"/>
        <v>2363837.8</v>
      </c>
      <c r="AO45" s="83">
        <f t="shared" si="143"/>
        <v>2472749</v>
      </c>
      <c r="AP45" s="83">
        <f t="shared" si="143"/>
        <v>2587250.8</v>
      </c>
      <c r="AQ45" s="83">
        <f t="shared" si="143"/>
        <v>2708479.4</v>
      </c>
      <c r="AR45" s="83">
        <f t="shared" si="143"/>
        <v>2835810.8</v>
      </c>
      <c r="AS45" s="83">
        <f t="shared" si="143"/>
        <v>2970314.4</v>
      </c>
      <c r="AT45" s="83">
        <f t="shared" si="143"/>
        <v>3112209.8</v>
      </c>
      <c r="AU45" s="83">
        <f t="shared" si="143"/>
        <v>3261701.4</v>
      </c>
      <c r="AV45" s="83">
        <f t="shared" si="143"/>
        <v>3419945.6</v>
      </c>
      <c r="AW45" s="83">
        <f t="shared" si="143"/>
        <v>3587163.2</v>
      </c>
      <c r="AX45" s="85">
        <f>SUM(AL45:AW45)</f>
        <v>33740952.6</v>
      </c>
      <c r="AY45" s="43">
        <f t="shared" si="144"/>
        <v>58352100.6</v>
      </c>
    </row>
    <row r="46">
      <c r="A46" s="12" t="s">
        <v>54</v>
      </c>
      <c r="B46" s="77">
        <v>0.111</v>
      </c>
      <c r="C46" s="77">
        <v>0.1</v>
      </c>
      <c r="D46" s="77">
        <v>0.12</v>
      </c>
      <c r="E46" s="77">
        <v>0.12</v>
      </c>
      <c r="F46" s="77">
        <v>0.1</v>
      </c>
      <c r="G46" s="77">
        <v>0.1</v>
      </c>
      <c r="H46" s="77">
        <v>0.1</v>
      </c>
      <c r="I46" s="77">
        <v>0.12</v>
      </c>
      <c r="J46" s="77">
        <v>0.12</v>
      </c>
      <c r="K46" s="78">
        <f>AVERAGE(B46:J46)</f>
        <v>0.1101111111</v>
      </c>
      <c r="L46" s="77">
        <v>0.06</v>
      </c>
      <c r="M46" s="77">
        <v>0.06</v>
      </c>
      <c r="N46" s="77">
        <v>0.06</v>
      </c>
      <c r="O46" s="77">
        <v>0.06</v>
      </c>
      <c r="P46" s="77">
        <v>0.06</v>
      </c>
      <c r="Q46" s="77">
        <f t="shared" ref="Q46:R46" si="145">8/100</f>
        <v>0.08</v>
      </c>
      <c r="R46" s="77">
        <f t="shared" si="145"/>
        <v>0.08</v>
      </c>
      <c r="S46" s="77">
        <v>0.06</v>
      </c>
      <c r="T46" s="77">
        <v>0.06</v>
      </c>
      <c r="U46" s="77">
        <v>0.06</v>
      </c>
      <c r="V46" s="77">
        <f t="shared" ref="V46:W46" si="146">7/100</f>
        <v>0.07</v>
      </c>
      <c r="W46" s="77">
        <f t="shared" si="146"/>
        <v>0.07</v>
      </c>
      <c r="X46" s="79">
        <f>AVERAGE(L46:W46)</f>
        <v>0.065</v>
      </c>
      <c r="Y46" s="77">
        <v>0.06</v>
      </c>
      <c r="Z46" s="77">
        <v>0.06</v>
      </c>
      <c r="AA46" s="77">
        <v>0.06</v>
      </c>
      <c r="AB46" s="77">
        <v>0.06</v>
      </c>
      <c r="AC46" s="77">
        <v>0.06</v>
      </c>
      <c r="AD46" s="77">
        <v>0.06</v>
      </c>
      <c r="AE46" s="77">
        <v>0.06</v>
      </c>
      <c r="AF46" s="77">
        <v>0.06</v>
      </c>
      <c r="AG46" s="77">
        <v>0.06</v>
      </c>
      <c r="AH46" s="77">
        <f t="shared" ref="AH46:AI46" si="147">7/100</f>
        <v>0.07</v>
      </c>
      <c r="AI46" s="77">
        <f t="shared" si="147"/>
        <v>0.07</v>
      </c>
      <c r="AJ46" s="77">
        <v>0.06</v>
      </c>
      <c r="AK46" s="79">
        <f>AVERAGE(Y46:AJ46)</f>
        <v>0.06166666667</v>
      </c>
      <c r="AL46" s="77">
        <v>0.06</v>
      </c>
      <c r="AM46" s="77">
        <v>0.06</v>
      </c>
      <c r="AN46" s="77">
        <v>0.06</v>
      </c>
      <c r="AO46" s="77">
        <v>0.06</v>
      </c>
      <c r="AP46" s="77">
        <v>0.06</v>
      </c>
      <c r="AQ46" s="77">
        <f t="shared" ref="AQ46:AR46" si="148">8/100</f>
        <v>0.08</v>
      </c>
      <c r="AR46" s="77">
        <f t="shared" si="148"/>
        <v>0.08</v>
      </c>
      <c r="AS46" s="77">
        <v>0.06</v>
      </c>
      <c r="AT46" s="77">
        <v>0.06</v>
      </c>
      <c r="AU46" s="77">
        <v>0.06</v>
      </c>
      <c r="AV46" s="77">
        <f t="shared" ref="AV46:AW46" si="149">7/100</f>
        <v>0.07</v>
      </c>
      <c r="AW46" s="77">
        <f t="shared" si="149"/>
        <v>0.07</v>
      </c>
      <c r="AX46" s="79">
        <f>AVERAGE(AL46:AW46)</f>
        <v>0.065</v>
      </c>
      <c r="AY46" s="80">
        <f>AVERAGE(K46,X46,AK46,AX46)</f>
        <v>0.07544444444</v>
      </c>
    </row>
    <row r="47">
      <c r="A47" s="81" t="s">
        <v>55</v>
      </c>
      <c r="B47" s="41">
        <f t="shared" ref="B47:J47" si="150">ROUND(B44*(1-B46),0)</f>
        <v>230758</v>
      </c>
      <c r="C47" s="41">
        <f t="shared" si="150"/>
        <v>294681</v>
      </c>
      <c r="D47" s="41">
        <f t="shared" si="150"/>
        <v>385561</v>
      </c>
      <c r="E47" s="41">
        <f t="shared" si="150"/>
        <v>429858</v>
      </c>
      <c r="F47" s="41">
        <f t="shared" si="150"/>
        <v>408668</v>
      </c>
      <c r="G47" s="41">
        <f t="shared" si="150"/>
        <v>447395</v>
      </c>
      <c r="H47" s="41">
        <f t="shared" si="150"/>
        <v>514373</v>
      </c>
      <c r="I47" s="41">
        <f t="shared" si="150"/>
        <v>575588</v>
      </c>
      <c r="J47" s="41">
        <f t="shared" si="150"/>
        <v>680193</v>
      </c>
      <c r="K47" s="41">
        <f>B47+C47+D47+E47+F47+G47+H47+I47+J47</f>
        <v>3967075</v>
      </c>
      <c r="L47" s="41">
        <f t="shared" ref="L47:W47" si="151">ROUND(L44*(1-L46),0)</f>
        <v>1035072</v>
      </c>
      <c r="M47" s="41">
        <f t="shared" si="151"/>
        <v>1262410</v>
      </c>
      <c r="N47" s="41">
        <f t="shared" si="151"/>
        <v>1545784</v>
      </c>
      <c r="O47" s="41">
        <f t="shared" si="151"/>
        <v>1808676</v>
      </c>
      <c r="P47" s="41">
        <f t="shared" si="151"/>
        <v>2084243</v>
      </c>
      <c r="Q47" s="41">
        <f t="shared" si="151"/>
        <v>2326489</v>
      </c>
      <c r="R47" s="41">
        <f t="shared" si="151"/>
        <v>2559262</v>
      </c>
      <c r="S47" s="41">
        <f t="shared" si="151"/>
        <v>2852610</v>
      </c>
      <c r="T47" s="41">
        <f t="shared" si="151"/>
        <v>3093607</v>
      </c>
      <c r="U47" s="41">
        <f t="shared" si="151"/>
        <v>3354692</v>
      </c>
      <c r="V47" s="41">
        <f t="shared" si="151"/>
        <v>3588007</v>
      </c>
      <c r="W47" s="41">
        <f t="shared" si="151"/>
        <v>3790604</v>
      </c>
      <c r="X47" s="42">
        <f>L47+M47+N47+O47+P47+Q47+R47+S47+T47+U47+V47+W47</f>
        <v>29301456</v>
      </c>
      <c r="Y47" s="41">
        <f t="shared" ref="Y47:AJ47" si="152">ROUND(Y44*(1-Y46),0)</f>
        <v>4773046</v>
      </c>
      <c r="Z47" s="41">
        <f t="shared" si="152"/>
        <v>5107733</v>
      </c>
      <c r="AA47" s="41">
        <f t="shared" si="152"/>
        <v>5475566</v>
      </c>
      <c r="AB47" s="41">
        <f t="shared" si="152"/>
        <v>5791633</v>
      </c>
      <c r="AC47" s="41">
        <f t="shared" si="152"/>
        <v>6136674</v>
      </c>
      <c r="AD47" s="41">
        <f t="shared" si="152"/>
        <v>6509756</v>
      </c>
      <c r="AE47" s="41">
        <f t="shared" si="152"/>
        <v>6917475</v>
      </c>
      <c r="AF47" s="41">
        <f t="shared" si="152"/>
        <v>7360250</v>
      </c>
      <c r="AG47" s="41">
        <f t="shared" si="152"/>
        <v>7846313</v>
      </c>
      <c r="AH47" s="41">
        <f t="shared" si="152"/>
        <v>8190829</v>
      </c>
      <c r="AI47" s="41">
        <f t="shared" si="152"/>
        <v>8598694</v>
      </c>
      <c r="AJ47" s="41">
        <f t="shared" si="152"/>
        <v>9101352</v>
      </c>
      <c r="AK47" s="42">
        <f>Y47+Z47+AA47+AB47+AC47+AD47+AE47+AF47+AG47+AH47+AI47+AJ47</f>
        <v>81809321</v>
      </c>
      <c r="AL47" s="41">
        <f t="shared" ref="AL47:AW47" si="153">ROUND(AL44*(1-AL46),0)</f>
        <v>10158081</v>
      </c>
      <c r="AM47" s="41">
        <f t="shared" si="153"/>
        <v>10622924</v>
      </c>
      <c r="AN47" s="41">
        <f t="shared" si="153"/>
        <v>11110038</v>
      </c>
      <c r="AO47" s="41">
        <f t="shared" si="153"/>
        <v>11621920</v>
      </c>
      <c r="AP47" s="41">
        <f t="shared" si="153"/>
        <v>12160079</v>
      </c>
      <c r="AQ47" s="41">
        <f t="shared" si="153"/>
        <v>12459005</v>
      </c>
      <c r="AR47" s="41">
        <f t="shared" si="153"/>
        <v>13044730</v>
      </c>
      <c r="AS47" s="41">
        <f t="shared" si="153"/>
        <v>13960478</v>
      </c>
      <c r="AT47" s="41">
        <f t="shared" si="153"/>
        <v>14627386</v>
      </c>
      <c r="AU47" s="41">
        <f t="shared" si="153"/>
        <v>15329997</v>
      </c>
      <c r="AV47" s="41">
        <f t="shared" si="153"/>
        <v>15902747</v>
      </c>
      <c r="AW47" s="41">
        <f t="shared" si="153"/>
        <v>16680309</v>
      </c>
      <c r="AX47" s="42">
        <f>AL47+AM47+AN47+AO47+AP47+AQ47+AR47+AS47+AT47+AU47+AV47+AW47</f>
        <v>157677694</v>
      </c>
      <c r="AY47" s="43">
        <f t="shared" ref="AY47:AY48" si="158">K47+X47+AK47+AX47</f>
        <v>272755546</v>
      </c>
    </row>
    <row r="48">
      <c r="A48" s="38" t="s">
        <v>56</v>
      </c>
      <c r="B48" s="83">
        <f t="shared" ref="B48:J48" si="154">B47/5</f>
        <v>46151.6</v>
      </c>
      <c r="C48" s="83">
        <f t="shared" si="154"/>
        <v>58936.2</v>
      </c>
      <c r="D48" s="83">
        <f t="shared" si="154"/>
        <v>77112.2</v>
      </c>
      <c r="E48" s="83">
        <f t="shared" si="154"/>
        <v>85971.6</v>
      </c>
      <c r="F48" s="83">
        <f t="shared" si="154"/>
        <v>81733.6</v>
      </c>
      <c r="G48" s="83">
        <f t="shared" si="154"/>
        <v>89479</v>
      </c>
      <c r="H48" s="83">
        <f t="shared" si="154"/>
        <v>102874.6</v>
      </c>
      <c r="I48" s="83">
        <f t="shared" si="154"/>
        <v>115117.6</v>
      </c>
      <c r="J48" s="83">
        <f t="shared" si="154"/>
        <v>136038.6</v>
      </c>
      <c r="K48" s="84">
        <f>SUM(B48:J48)</f>
        <v>793415</v>
      </c>
      <c r="L48" s="83">
        <f t="shared" ref="L48:W48" si="155">L47/5</f>
        <v>207014.4</v>
      </c>
      <c r="M48" s="83">
        <f t="shared" si="155"/>
        <v>252482</v>
      </c>
      <c r="N48" s="83">
        <f t="shared" si="155"/>
        <v>309156.8</v>
      </c>
      <c r="O48" s="83">
        <f t="shared" si="155"/>
        <v>361735.2</v>
      </c>
      <c r="P48" s="83">
        <f t="shared" si="155"/>
        <v>416848.6</v>
      </c>
      <c r="Q48" s="83">
        <f t="shared" si="155"/>
        <v>465297.8</v>
      </c>
      <c r="R48" s="83">
        <f t="shared" si="155"/>
        <v>511852.4</v>
      </c>
      <c r="S48" s="83">
        <f t="shared" si="155"/>
        <v>570522</v>
      </c>
      <c r="T48" s="83">
        <f t="shared" si="155"/>
        <v>618721.4</v>
      </c>
      <c r="U48" s="83">
        <f t="shared" si="155"/>
        <v>670938.4</v>
      </c>
      <c r="V48" s="83">
        <f t="shared" si="155"/>
        <v>717601.4</v>
      </c>
      <c r="W48" s="83">
        <f t="shared" si="155"/>
        <v>758120.8</v>
      </c>
      <c r="X48" s="85">
        <f>SUM(L48:W48)</f>
        <v>5860291.2</v>
      </c>
      <c r="Y48" s="83">
        <f t="shared" ref="Y48:AJ48" si="156">Y47/5</f>
        <v>954609.2</v>
      </c>
      <c r="Z48" s="83">
        <f t="shared" si="156"/>
        <v>1021546.6</v>
      </c>
      <c r="AA48" s="83">
        <f t="shared" si="156"/>
        <v>1095113.2</v>
      </c>
      <c r="AB48" s="83">
        <f t="shared" si="156"/>
        <v>1158326.6</v>
      </c>
      <c r="AC48" s="83">
        <f t="shared" si="156"/>
        <v>1227334.8</v>
      </c>
      <c r="AD48" s="83">
        <f t="shared" si="156"/>
        <v>1301951.2</v>
      </c>
      <c r="AE48" s="83">
        <f t="shared" si="156"/>
        <v>1383495</v>
      </c>
      <c r="AF48" s="83">
        <f t="shared" si="156"/>
        <v>1472050</v>
      </c>
      <c r="AG48" s="83">
        <f t="shared" si="156"/>
        <v>1569262.6</v>
      </c>
      <c r="AH48" s="83">
        <f t="shared" si="156"/>
        <v>1638165.8</v>
      </c>
      <c r="AI48" s="83">
        <f t="shared" si="156"/>
        <v>1719738.8</v>
      </c>
      <c r="AJ48" s="83">
        <f t="shared" si="156"/>
        <v>1820270.4</v>
      </c>
      <c r="AK48" s="85">
        <f>SUM(Y48:AJ48)</f>
        <v>16361864.2</v>
      </c>
      <c r="AL48" s="83">
        <f t="shared" ref="AL48:AW48" si="157">AL47/5</f>
        <v>2031616.2</v>
      </c>
      <c r="AM48" s="83">
        <f t="shared" si="157"/>
        <v>2124584.8</v>
      </c>
      <c r="AN48" s="83">
        <f t="shared" si="157"/>
        <v>2222007.6</v>
      </c>
      <c r="AO48" s="83">
        <f t="shared" si="157"/>
        <v>2324384</v>
      </c>
      <c r="AP48" s="83">
        <f t="shared" si="157"/>
        <v>2432015.8</v>
      </c>
      <c r="AQ48" s="83">
        <f t="shared" si="157"/>
        <v>2491801</v>
      </c>
      <c r="AR48" s="83">
        <f t="shared" si="157"/>
        <v>2608946</v>
      </c>
      <c r="AS48" s="83">
        <f t="shared" si="157"/>
        <v>2792095.6</v>
      </c>
      <c r="AT48" s="83">
        <f t="shared" si="157"/>
        <v>2925477.2</v>
      </c>
      <c r="AU48" s="83">
        <f t="shared" si="157"/>
        <v>3065999.4</v>
      </c>
      <c r="AV48" s="83">
        <f t="shared" si="157"/>
        <v>3180549.4</v>
      </c>
      <c r="AW48" s="83">
        <f t="shared" si="157"/>
        <v>3336061.8</v>
      </c>
      <c r="AX48" s="85">
        <f>SUM(AL48:AW48)</f>
        <v>31535538.8</v>
      </c>
      <c r="AY48" s="43">
        <f t="shared" si="158"/>
        <v>54551109.2</v>
      </c>
    </row>
    <row r="49">
      <c r="A49" s="86" t="s">
        <v>57</v>
      </c>
      <c r="B49" s="87">
        <f t="shared" ref="B49:J49" si="159">IF(B22&gt;0,B47/B22,0)</f>
        <v>35.85982906</v>
      </c>
      <c r="C49" s="87">
        <f t="shared" si="159"/>
        <v>55.16304755</v>
      </c>
      <c r="D49" s="87">
        <f t="shared" si="159"/>
        <v>49.21636456</v>
      </c>
      <c r="E49" s="87">
        <f t="shared" si="159"/>
        <v>48.47840307</v>
      </c>
      <c r="F49" s="87">
        <f t="shared" si="159"/>
        <v>51.59298068</v>
      </c>
      <c r="G49" s="87">
        <f t="shared" si="159"/>
        <v>54.1837229</v>
      </c>
      <c r="H49" s="87">
        <f t="shared" si="159"/>
        <v>56.82423774</v>
      </c>
      <c r="I49" s="87">
        <f t="shared" si="159"/>
        <v>57.57607282</v>
      </c>
      <c r="J49" s="87">
        <f t="shared" si="159"/>
        <v>60.06649594</v>
      </c>
      <c r="K49" s="88">
        <f>AVERAGE(B49:J49)</f>
        <v>52.10679492</v>
      </c>
      <c r="L49" s="87">
        <f t="shared" ref="L49:W49" si="160">IF(L22&gt;0,L47/L22,0)</f>
        <v>76.39471548</v>
      </c>
      <c r="M49" s="87">
        <f t="shared" si="160"/>
        <v>77.45321799</v>
      </c>
      <c r="N49" s="87">
        <f t="shared" si="160"/>
        <v>77.80269781</v>
      </c>
      <c r="O49" s="87">
        <f t="shared" si="160"/>
        <v>81.39123391</v>
      </c>
      <c r="P49" s="87">
        <f t="shared" si="160"/>
        <v>85.45131401</v>
      </c>
      <c r="Q49" s="87">
        <f t="shared" si="160"/>
        <v>87.31755742</v>
      </c>
      <c r="R49" s="87">
        <f t="shared" si="160"/>
        <v>93.10808746</v>
      </c>
      <c r="S49" s="87">
        <f t="shared" si="160"/>
        <v>102.0502272</v>
      </c>
      <c r="T49" s="87">
        <f t="shared" si="160"/>
        <v>109.3108724</v>
      </c>
      <c r="U49" s="87">
        <f t="shared" si="160"/>
        <v>117.2272425</v>
      </c>
      <c r="V49" s="87">
        <f t="shared" si="160"/>
        <v>124.0323216</v>
      </c>
      <c r="W49" s="87">
        <f t="shared" si="160"/>
        <v>129.6110237</v>
      </c>
      <c r="X49" s="89">
        <f>AVERAGE(L49:W49)</f>
        <v>96.76254263</v>
      </c>
      <c r="Y49" s="87">
        <f t="shared" ref="Y49:AJ49" si="161">IF(Y22&gt;0,Y47/Y22,0)</f>
        <v>158.646746</v>
      </c>
      <c r="Z49" s="87">
        <f t="shared" si="161"/>
        <v>163.8301633</v>
      </c>
      <c r="AA49" s="87">
        <f t="shared" si="161"/>
        <v>168.7853642</v>
      </c>
      <c r="AB49" s="87">
        <f t="shared" si="161"/>
        <v>171.0111023</v>
      </c>
      <c r="AC49" s="87">
        <f t="shared" si="161"/>
        <v>173.029775</v>
      </c>
      <c r="AD49" s="87">
        <f t="shared" si="161"/>
        <v>174.706959</v>
      </c>
      <c r="AE49" s="87">
        <f t="shared" si="161"/>
        <v>176.0933483</v>
      </c>
      <c r="AF49" s="87">
        <f t="shared" si="161"/>
        <v>177.0525126</v>
      </c>
      <c r="AG49" s="87">
        <f t="shared" si="161"/>
        <v>177.6268988</v>
      </c>
      <c r="AH49" s="87">
        <f t="shared" si="161"/>
        <v>178.6674156</v>
      </c>
      <c r="AI49" s="87">
        <f t="shared" si="161"/>
        <v>182.8614508</v>
      </c>
      <c r="AJ49" s="87">
        <f t="shared" si="161"/>
        <v>189.8210941</v>
      </c>
      <c r="AK49" s="89">
        <f>AVERAGE(Y49:AJ49)</f>
        <v>174.3444025</v>
      </c>
      <c r="AL49" s="87">
        <f t="shared" ref="AL49:AW49" si="162">IF(AL22&gt;0,AL47/AL22,0)</f>
        <v>208.4050921</v>
      </c>
      <c r="AM49" s="87">
        <f t="shared" si="162"/>
        <v>214.6999475</v>
      </c>
      <c r="AN49" s="87">
        <f t="shared" si="162"/>
        <v>221.3595935</v>
      </c>
      <c r="AO49" s="87">
        <f t="shared" si="162"/>
        <v>228.3284872</v>
      </c>
      <c r="AP49" s="87">
        <f t="shared" si="162"/>
        <v>235.5782673</v>
      </c>
      <c r="AQ49" s="87">
        <f t="shared" si="162"/>
        <v>237.9943649</v>
      </c>
      <c r="AR49" s="87">
        <f t="shared" si="162"/>
        <v>245.6588388</v>
      </c>
      <c r="AS49" s="87">
        <f t="shared" si="162"/>
        <v>259.141632</v>
      </c>
      <c r="AT49" s="87">
        <f t="shared" si="162"/>
        <v>267.5822921</v>
      </c>
      <c r="AU49" s="87">
        <f t="shared" si="162"/>
        <v>276.310755</v>
      </c>
      <c r="AV49" s="87">
        <f t="shared" si="162"/>
        <v>282.354089</v>
      </c>
      <c r="AW49" s="87">
        <f t="shared" si="162"/>
        <v>291.6749843</v>
      </c>
      <c r="AX49" s="89">
        <f>AVERAGE(AL49:AW49)</f>
        <v>247.4240286</v>
      </c>
      <c r="AY49" s="90">
        <f>AVERAGE(K49,X49,AK49,AX49)</f>
        <v>142.6594422</v>
      </c>
    </row>
    <row r="50">
      <c r="A50" s="38" t="s">
        <v>58</v>
      </c>
      <c r="B50" s="91">
        <f t="shared" ref="B50:AY50" si="163">B49/5</f>
        <v>7.171965812</v>
      </c>
      <c r="C50" s="91">
        <f t="shared" si="163"/>
        <v>11.03260951</v>
      </c>
      <c r="D50" s="91">
        <f t="shared" si="163"/>
        <v>9.843272913</v>
      </c>
      <c r="E50" s="91">
        <f t="shared" si="163"/>
        <v>9.695680614</v>
      </c>
      <c r="F50" s="91">
        <f t="shared" si="163"/>
        <v>10.31859614</v>
      </c>
      <c r="G50" s="91">
        <f t="shared" si="163"/>
        <v>10.83674458</v>
      </c>
      <c r="H50" s="91">
        <f t="shared" si="163"/>
        <v>11.36484755</v>
      </c>
      <c r="I50" s="91">
        <f t="shared" si="163"/>
        <v>11.51521456</v>
      </c>
      <c r="J50" s="91">
        <f t="shared" si="163"/>
        <v>12.01329919</v>
      </c>
      <c r="K50" s="92">
        <f t="shared" si="163"/>
        <v>10.42135898</v>
      </c>
      <c r="L50" s="91">
        <f t="shared" si="163"/>
        <v>15.2789431</v>
      </c>
      <c r="M50" s="91">
        <f t="shared" si="163"/>
        <v>15.4906436</v>
      </c>
      <c r="N50" s="91">
        <f t="shared" si="163"/>
        <v>15.56053956</v>
      </c>
      <c r="O50" s="91">
        <f t="shared" si="163"/>
        <v>16.27824678</v>
      </c>
      <c r="P50" s="91">
        <f t="shared" si="163"/>
        <v>17.0902628</v>
      </c>
      <c r="Q50" s="91">
        <f t="shared" si="163"/>
        <v>17.46351148</v>
      </c>
      <c r="R50" s="91">
        <f t="shared" si="163"/>
        <v>18.62161749</v>
      </c>
      <c r="S50" s="91">
        <f t="shared" si="163"/>
        <v>20.41004543</v>
      </c>
      <c r="T50" s="91">
        <f t="shared" si="163"/>
        <v>21.86217448</v>
      </c>
      <c r="U50" s="91">
        <f t="shared" si="163"/>
        <v>23.44544851</v>
      </c>
      <c r="V50" s="91">
        <f t="shared" si="163"/>
        <v>24.80646433</v>
      </c>
      <c r="W50" s="91">
        <f t="shared" si="163"/>
        <v>25.92220475</v>
      </c>
      <c r="X50" s="93">
        <f t="shared" si="163"/>
        <v>19.35250853</v>
      </c>
      <c r="Y50" s="91">
        <f t="shared" si="163"/>
        <v>31.7293492</v>
      </c>
      <c r="Z50" s="91">
        <f t="shared" si="163"/>
        <v>32.76603265</v>
      </c>
      <c r="AA50" s="91">
        <f t="shared" si="163"/>
        <v>33.75707284</v>
      </c>
      <c r="AB50" s="91">
        <f t="shared" si="163"/>
        <v>34.20222045</v>
      </c>
      <c r="AC50" s="91">
        <f t="shared" si="163"/>
        <v>34.605955</v>
      </c>
      <c r="AD50" s="91">
        <f t="shared" si="163"/>
        <v>34.9413918</v>
      </c>
      <c r="AE50" s="91">
        <f t="shared" si="163"/>
        <v>35.21866965</v>
      </c>
      <c r="AF50" s="91">
        <f t="shared" si="163"/>
        <v>35.41050251</v>
      </c>
      <c r="AG50" s="91">
        <f t="shared" si="163"/>
        <v>35.52537976</v>
      </c>
      <c r="AH50" s="91">
        <f t="shared" si="163"/>
        <v>35.73348312</v>
      </c>
      <c r="AI50" s="91">
        <f t="shared" si="163"/>
        <v>36.57229016</v>
      </c>
      <c r="AJ50" s="91">
        <f t="shared" si="163"/>
        <v>37.96421882</v>
      </c>
      <c r="AK50" s="93">
        <f t="shared" si="163"/>
        <v>34.8688805</v>
      </c>
      <c r="AL50" s="91">
        <f t="shared" si="163"/>
        <v>41.68101842</v>
      </c>
      <c r="AM50" s="91">
        <f t="shared" si="163"/>
        <v>42.93998949</v>
      </c>
      <c r="AN50" s="91">
        <f t="shared" si="163"/>
        <v>44.27191871</v>
      </c>
      <c r="AO50" s="91">
        <f t="shared" si="163"/>
        <v>45.66569745</v>
      </c>
      <c r="AP50" s="91">
        <f t="shared" si="163"/>
        <v>47.11565345</v>
      </c>
      <c r="AQ50" s="91">
        <f t="shared" si="163"/>
        <v>47.59887297</v>
      </c>
      <c r="AR50" s="91">
        <f t="shared" si="163"/>
        <v>49.13176776</v>
      </c>
      <c r="AS50" s="91">
        <f t="shared" si="163"/>
        <v>51.8283264</v>
      </c>
      <c r="AT50" s="91">
        <f t="shared" si="163"/>
        <v>53.51645843</v>
      </c>
      <c r="AU50" s="91">
        <f t="shared" si="163"/>
        <v>55.26215101</v>
      </c>
      <c r="AV50" s="91">
        <f t="shared" si="163"/>
        <v>56.4708178</v>
      </c>
      <c r="AW50" s="91">
        <f t="shared" si="163"/>
        <v>58.33499685</v>
      </c>
      <c r="AX50" s="93">
        <f t="shared" si="163"/>
        <v>49.48480573</v>
      </c>
      <c r="AY50" s="94">
        <f t="shared" si="163"/>
        <v>28.53188843</v>
      </c>
    </row>
    <row r="51">
      <c r="A51" s="95" t="s">
        <v>59</v>
      </c>
      <c r="B51" s="96">
        <f t="shared" ref="B51:AY51" si="164">(B6*5)/B49</f>
        <v>27.17664935</v>
      </c>
      <c r="C51" s="96">
        <f t="shared" si="164"/>
        <v>24.02673636</v>
      </c>
      <c r="D51" s="96">
        <f t="shared" si="164"/>
        <v>16.15789397</v>
      </c>
      <c r="E51" s="96">
        <f t="shared" si="164"/>
        <v>16.40385718</v>
      </c>
      <c r="F51" s="96">
        <f t="shared" si="164"/>
        <v>23.1203777</v>
      </c>
      <c r="G51" s="96">
        <f t="shared" si="164"/>
        <v>26.41787909</v>
      </c>
      <c r="H51" s="96">
        <f t="shared" si="164"/>
        <v>24.62350869</v>
      </c>
      <c r="I51" s="96">
        <f t="shared" si="164"/>
        <v>20.65667623</v>
      </c>
      <c r="J51" s="96">
        <f t="shared" si="164"/>
        <v>15.84018214</v>
      </c>
      <c r="K51" s="97">
        <f t="shared" si="164"/>
        <v>13.16217193</v>
      </c>
      <c r="L51" s="96">
        <f t="shared" si="164"/>
        <v>9.340936378</v>
      </c>
      <c r="M51" s="96">
        <f t="shared" si="164"/>
        <v>6.909959929</v>
      </c>
      <c r="N51" s="96">
        <f t="shared" si="164"/>
        <v>5.159190951</v>
      </c>
      <c r="O51" s="96">
        <f t="shared" si="164"/>
        <v>4.438550194</v>
      </c>
      <c r="P51" s="96">
        <f t="shared" si="164"/>
        <v>3.804893735</v>
      </c>
      <c r="Q51" s="96">
        <f t="shared" si="164"/>
        <v>3.351214361</v>
      </c>
      <c r="R51" s="96">
        <f t="shared" si="164"/>
        <v>3.14279737</v>
      </c>
      <c r="S51" s="96">
        <f t="shared" si="164"/>
        <v>2.867410103</v>
      </c>
      <c r="T51" s="96">
        <f t="shared" si="164"/>
        <v>2.676951029</v>
      </c>
      <c r="U51" s="96">
        <f t="shared" si="164"/>
        <v>2.496176196</v>
      </c>
      <c r="V51" s="96">
        <f t="shared" si="164"/>
        <v>2.359222569</v>
      </c>
      <c r="W51" s="96">
        <f t="shared" si="164"/>
        <v>2.257677194</v>
      </c>
      <c r="X51" s="98">
        <f t="shared" si="164"/>
        <v>2.309125683</v>
      </c>
      <c r="Y51" s="96">
        <f t="shared" si="164"/>
        <v>1.844474342</v>
      </c>
      <c r="Z51" s="96">
        <f t="shared" si="164"/>
        <v>1.786117078</v>
      </c>
      <c r="AA51" s="96">
        <f t="shared" si="164"/>
        <v>1.73368025</v>
      </c>
      <c r="AB51" s="96">
        <f t="shared" si="164"/>
        <v>1.711116112</v>
      </c>
      <c r="AC51" s="96">
        <f t="shared" si="164"/>
        <v>1.69115317</v>
      </c>
      <c r="AD51" s="96">
        <f t="shared" si="164"/>
        <v>1.674918126</v>
      </c>
      <c r="AE51" s="96">
        <f t="shared" si="164"/>
        <v>1.661731436</v>
      </c>
      <c r="AF51" s="96">
        <f t="shared" si="164"/>
        <v>1.652729172</v>
      </c>
      <c r="AG51" s="96">
        <f t="shared" si="164"/>
        <v>1.647384796</v>
      </c>
      <c r="AH51" s="96">
        <f t="shared" si="164"/>
        <v>1.637790816</v>
      </c>
      <c r="AI51" s="96">
        <f t="shared" si="164"/>
        <v>1.600227118</v>
      </c>
      <c r="AJ51" s="96">
        <f t="shared" si="164"/>
        <v>1.541556031</v>
      </c>
      <c r="AK51" s="98">
        <f t="shared" si="164"/>
        <v>1.057035127</v>
      </c>
      <c r="AL51" s="96">
        <f t="shared" si="164"/>
        <v>1.404091663</v>
      </c>
      <c r="AM51" s="96">
        <f t="shared" si="164"/>
        <v>1.362924658</v>
      </c>
      <c r="AN51" s="96">
        <f t="shared" si="164"/>
        <v>1.321920806</v>
      </c>
      <c r="AO51" s="96">
        <f t="shared" si="164"/>
        <v>1.281573999</v>
      </c>
      <c r="AP51" s="96">
        <f t="shared" si="164"/>
        <v>1.242134327</v>
      </c>
      <c r="AQ51" s="96">
        <f t="shared" si="164"/>
        <v>1.22952429</v>
      </c>
      <c r="AR51" s="96">
        <f t="shared" si="164"/>
        <v>1.191163541</v>
      </c>
      <c r="AS51" s="96">
        <f t="shared" si="164"/>
        <v>1.129188892</v>
      </c>
      <c r="AT51" s="96">
        <f t="shared" si="164"/>
        <v>1.093569571</v>
      </c>
      <c r="AU51" s="96">
        <f t="shared" si="164"/>
        <v>1.059024475</v>
      </c>
      <c r="AV51" s="96">
        <f t="shared" si="164"/>
        <v>1.036357764</v>
      </c>
      <c r="AW51" s="96">
        <f t="shared" si="164"/>
        <v>1.003239456</v>
      </c>
      <c r="AX51" s="98">
        <f t="shared" si="164"/>
        <v>0.67270348</v>
      </c>
      <c r="AY51" s="99">
        <f t="shared" si="164"/>
        <v>1.542163046</v>
      </c>
    </row>
    <row r="52">
      <c r="A52" s="95"/>
      <c r="B52" s="96"/>
      <c r="C52" s="96"/>
      <c r="D52" s="96"/>
      <c r="E52" s="96"/>
      <c r="F52" s="96"/>
      <c r="G52" s="96"/>
      <c r="H52" s="96"/>
      <c r="I52" s="96"/>
      <c r="J52" s="100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</row>
    <row r="53">
      <c r="A53" s="10" t="s">
        <v>60</v>
      </c>
      <c r="B53" s="51"/>
      <c r="C53" s="52"/>
      <c r="D53" s="52"/>
      <c r="E53" s="52"/>
      <c r="F53" s="52"/>
      <c r="G53" s="52"/>
      <c r="H53" s="101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</row>
    <row r="54">
      <c r="A54" s="81" t="s">
        <v>61</v>
      </c>
      <c r="B54" s="82">
        <f t="shared" ref="B54:AX54" si="165">B47*B55</f>
        <v>126916.9</v>
      </c>
      <c r="C54" s="82">
        <f t="shared" si="165"/>
        <v>162074.55</v>
      </c>
      <c r="D54" s="82">
        <f t="shared" si="165"/>
        <v>212058.55</v>
      </c>
      <c r="E54" s="82">
        <f t="shared" si="165"/>
        <v>236421.9</v>
      </c>
      <c r="F54" s="82">
        <f t="shared" si="165"/>
        <v>224767.4</v>
      </c>
      <c r="G54" s="82">
        <f t="shared" si="165"/>
        <v>246067.25</v>
      </c>
      <c r="H54" s="82">
        <f t="shared" si="165"/>
        <v>282905.15</v>
      </c>
      <c r="I54" s="82">
        <f t="shared" si="165"/>
        <v>316573.4</v>
      </c>
      <c r="J54" s="82">
        <f t="shared" si="165"/>
        <v>374106.15</v>
      </c>
      <c r="K54" s="42">
        <f t="shared" si="165"/>
        <v>2181891.25</v>
      </c>
      <c r="L54" s="82">
        <f t="shared" si="165"/>
        <v>569289.6</v>
      </c>
      <c r="M54" s="82">
        <f t="shared" si="165"/>
        <v>694325.5</v>
      </c>
      <c r="N54" s="82">
        <f t="shared" si="165"/>
        <v>850181.2</v>
      </c>
      <c r="O54" s="82">
        <f t="shared" si="165"/>
        <v>994771.8</v>
      </c>
      <c r="P54" s="82">
        <f t="shared" si="165"/>
        <v>1146333.65</v>
      </c>
      <c r="Q54" s="82">
        <f t="shared" si="165"/>
        <v>1279568.95</v>
      </c>
      <c r="R54" s="82">
        <f t="shared" si="165"/>
        <v>1407594.1</v>
      </c>
      <c r="S54" s="82">
        <f t="shared" si="165"/>
        <v>1568935.5</v>
      </c>
      <c r="T54" s="82">
        <f t="shared" si="165"/>
        <v>1701483.85</v>
      </c>
      <c r="U54" s="82">
        <f t="shared" si="165"/>
        <v>1845080.6</v>
      </c>
      <c r="V54" s="82">
        <f t="shared" si="165"/>
        <v>1973403.85</v>
      </c>
      <c r="W54" s="82">
        <f t="shared" si="165"/>
        <v>2084832.2</v>
      </c>
      <c r="X54" s="42">
        <f t="shared" si="165"/>
        <v>16115800.8</v>
      </c>
      <c r="Y54" s="82">
        <f t="shared" si="165"/>
        <v>2863827.6</v>
      </c>
      <c r="Z54" s="82">
        <f t="shared" si="165"/>
        <v>3064639.8</v>
      </c>
      <c r="AA54" s="82">
        <f t="shared" si="165"/>
        <v>3285339.6</v>
      </c>
      <c r="AB54" s="82">
        <f t="shared" si="165"/>
        <v>3474979.8</v>
      </c>
      <c r="AC54" s="82">
        <f t="shared" si="165"/>
        <v>3682004.4</v>
      </c>
      <c r="AD54" s="82">
        <f t="shared" si="165"/>
        <v>3905853.6</v>
      </c>
      <c r="AE54" s="82">
        <f t="shared" si="165"/>
        <v>4150485</v>
      </c>
      <c r="AF54" s="82">
        <f t="shared" si="165"/>
        <v>4416150</v>
      </c>
      <c r="AG54" s="82">
        <f t="shared" si="165"/>
        <v>4707787.8</v>
      </c>
      <c r="AH54" s="82">
        <f t="shared" si="165"/>
        <v>4914497.4</v>
      </c>
      <c r="AI54" s="82">
        <f t="shared" si="165"/>
        <v>5159216.4</v>
      </c>
      <c r="AJ54" s="82">
        <f t="shared" si="165"/>
        <v>5460811.2</v>
      </c>
      <c r="AK54" s="42">
        <f t="shared" si="165"/>
        <v>49085592.6</v>
      </c>
      <c r="AL54" s="82">
        <f t="shared" si="165"/>
        <v>6094848.6</v>
      </c>
      <c r="AM54" s="82">
        <f t="shared" si="165"/>
        <v>6373754.4</v>
      </c>
      <c r="AN54" s="82">
        <f t="shared" si="165"/>
        <v>6666022.8</v>
      </c>
      <c r="AO54" s="82">
        <f t="shared" si="165"/>
        <v>6973152</v>
      </c>
      <c r="AP54" s="82">
        <f t="shared" si="165"/>
        <v>7296047.4</v>
      </c>
      <c r="AQ54" s="82">
        <f t="shared" si="165"/>
        <v>7475403</v>
      </c>
      <c r="AR54" s="82">
        <f t="shared" si="165"/>
        <v>7826838</v>
      </c>
      <c r="AS54" s="82">
        <f t="shared" si="165"/>
        <v>8376286.8</v>
      </c>
      <c r="AT54" s="82">
        <f t="shared" si="165"/>
        <v>8776431.6</v>
      </c>
      <c r="AU54" s="82">
        <f t="shared" si="165"/>
        <v>9197998.2</v>
      </c>
      <c r="AV54" s="82">
        <f t="shared" si="165"/>
        <v>9541648.2</v>
      </c>
      <c r="AW54" s="82">
        <f t="shared" si="165"/>
        <v>10008185.4</v>
      </c>
      <c r="AX54" s="42">
        <f t="shared" si="165"/>
        <v>94606616.4</v>
      </c>
      <c r="AY54" s="43">
        <f>K54+X54+AK54+AX54</f>
        <v>161989901.1</v>
      </c>
    </row>
    <row r="55">
      <c r="A55" s="102" t="s">
        <v>62</v>
      </c>
      <c r="B55" s="103">
        <v>0.55</v>
      </c>
      <c r="C55" s="103">
        <v>0.55</v>
      </c>
      <c r="D55" s="104">
        <v>0.55</v>
      </c>
      <c r="E55" s="104">
        <v>0.55</v>
      </c>
      <c r="F55" s="104">
        <v>0.55</v>
      </c>
      <c r="G55" s="104">
        <v>0.55</v>
      </c>
      <c r="H55" s="104">
        <v>0.55</v>
      </c>
      <c r="I55" s="104">
        <v>0.55</v>
      </c>
      <c r="J55" s="104">
        <v>0.55</v>
      </c>
      <c r="K55" s="104">
        <f>AVERAGE(B55:J55)</f>
        <v>0.55</v>
      </c>
      <c r="L55" s="104">
        <v>0.55</v>
      </c>
      <c r="M55" s="104">
        <v>0.55</v>
      </c>
      <c r="N55" s="104">
        <v>0.55</v>
      </c>
      <c r="O55" s="104">
        <v>0.55</v>
      </c>
      <c r="P55" s="104">
        <v>0.55</v>
      </c>
      <c r="Q55" s="104">
        <v>0.55</v>
      </c>
      <c r="R55" s="104">
        <v>0.55</v>
      </c>
      <c r="S55" s="104">
        <v>0.55</v>
      </c>
      <c r="T55" s="104">
        <v>0.55</v>
      </c>
      <c r="U55" s="104">
        <v>0.55</v>
      </c>
      <c r="V55" s="104">
        <v>0.55</v>
      </c>
      <c r="W55" s="104">
        <v>0.55</v>
      </c>
      <c r="X55" s="104">
        <f>AVERAGE(L55:W55)</f>
        <v>0.55</v>
      </c>
      <c r="Y55" s="103">
        <v>0.6</v>
      </c>
      <c r="Z55" s="104">
        <f t="shared" ref="Z55:AJ55" si="166">Y55</f>
        <v>0.6</v>
      </c>
      <c r="AA55" s="104">
        <f t="shared" si="166"/>
        <v>0.6</v>
      </c>
      <c r="AB55" s="104">
        <f t="shared" si="166"/>
        <v>0.6</v>
      </c>
      <c r="AC55" s="104">
        <f t="shared" si="166"/>
        <v>0.6</v>
      </c>
      <c r="AD55" s="104">
        <f t="shared" si="166"/>
        <v>0.6</v>
      </c>
      <c r="AE55" s="104">
        <f t="shared" si="166"/>
        <v>0.6</v>
      </c>
      <c r="AF55" s="104">
        <f t="shared" si="166"/>
        <v>0.6</v>
      </c>
      <c r="AG55" s="104">
        <f t="shared" si="166"/>
        <v>0.6</v>
      </c>
      <c r="AH55" s="104">
        <f t="shared" si="166"/>
        <v>0.6</v>
      </c>
      <c r="AI55" s="104">
        <f t="shared" si="166"/>
        <v>0.6</v>
      </c>
      <c r="AJ55" s="104">
        <f t="shared" si="166"/>
        <v>0.6</v>
      </c>
      <c r="AK55" s="104">
        <f>AVERAGE(Y55:AJ55)</f>
        <v>0.6</v>
      </c>
      <c r="AL55" s="104">
        <f>AJ55</f>
        <v>0.6</v>
      </c>
      <c r="AM55" s="104">
        <f t="shared" ref="AM55:AW55" si="167">AL55</f>
        <v>0.6</v>
      </c>
      <c r="AN55" s="104">
        <f t="shared" si="167"/>
        <v>0.6</v>
      </c>
      <c r="AO55" s="104">
        <f t="shared" si="167"/>
        <v>0.6</v>
      </c>
      <c r="AP55" s="104">
        <f t="shared" si="167"/>
        <v>0.6</v>
      </c>
      <c r="AQ55" s="104">
        <f t="shared" si="167"/>
        <v>0.6</v>
      </c>
      <c r="AR55" s="104">
        <f t="shared" si="167"/>
        <v>0.6</v>
      </c>
      <c r="AS55" s="104">
        <f t="shared" si="167"/>
        <v>0.6</v>
      </c>
      <c r="AT55" s="104">
        <f t="shared" si="167"/>
        <v>0.6</v>
      </c>
      <c r="AU55" s="104">
        <f t="shared" si="167"/>
        <v>0.6</v>
      </c>
      <c r="AV55" s="104">
        <f t="shared" si="167"/>
        <v>0.6</v>
      </c>
      <c r="AW55" s="104">
        <f t="shared" si="167"/>
        <v>0.6</v>
      </c>
      <c r="AX55" s="104">
        <f>AVERAGE(AL55:AW55)</f>
        <v>0.6</v>
      </c>
      <c r="AY55" s="105">
        <v>0.55</v>
      </c>
    </row>
    <row r="56">
      <c r="A56" s="53" t="s">
        <v>63</v>
      </c>
      <c r="B56" s="61">
        <f t="shared" ref="B56:AX56" si="168">B54/5</f>
        <v>25383.38</v>
      </c>
      <c r="C56" s="61">
        <f t="shared" si="168"/>
        <v>32414.91</v>
      </c>
      <c r="D56" s="61">
        <f t="shared" si="168"/>
        <v>42411.71</v>
      </c>
      <c r="E56" s="61">
        <f t="shared" si="168"/>
        <v>47284.38</v>
      </c>
      <c r="F56" s="61">
        <f t="shared" si="168"/>
        <v>44953.48</v>
      </c>
      <c r="G56" s="61">
        <f t="shared" si="168"/>
        <v>49213.45</v>
      </c>
      <c r="H56" s="61">
        <f t="shared" si="168"/>
        <v>56581.03</v>
      </c>
      <c r="I56" s="61">
        <f t="shared" si="168"/>
        <v>63314.68</v>
      </c>
      <c r="J56" s="61">
        <f t="shared" si="168"/>
        <v>74821.23</v>
      </c>
      <c r="K56" s="14">
        <f t="shared" si="168"/>
        <v>436378.25</v>
      </c>
      <c r="L56" s="61">
        <f t="shared" si="168"/>
        <v>113857.92</v>
      </c>
      <c r="M56" s="61">
        <f t="shared" si="168"/>
        <v>138865.1</v>
      </c>
      <c r="N56" s="61">
        <f t="shared" si="168"/>
        <v>170036.24</v>
      </c>
      <c r="O56" s="61">
        <f t="shared" si="168"/>
        <v>198954.36</v>
      </c>
      <c r="P56" s="61">
        <f t="shared" si="168"/>
        <v>229266.73</v>
      </c>
      <c r="Q56" s="61">
        <f t="shared" si="168"/>
        <v>255913.79</v>
      </c>
      <c r="R56" s="61">
        <f t="shared" si="168"/>
        <v>281518.82</v>
      </c>
      <c r="S56" s="61">
        <f t="shared" si="168"/>
        <v>313787.1</v>
      </c>
      <c r="T56" s="61">
        <f t="shared" si="168"/>
        <v>340296.77</v>
      </c>
      <c r="U56" s="61">
        <f t="shared" si="168"/>
        <v>369016.12</v>
      </c>
      <c r="V56" s="61">
        <f t="shared" si="168"/>
        <v>394680.77</v>
      </c>
      <c r="W56" s="61">
        <f t="shared" si="168"/>
        <v>416966.44</v>
      </c>
      <c r="X56" s="14">
        <f t="shared" si="168"/>
        <v>3223160.16</v>
      </c>
      <c r="Y56" s="61">
        <f t="shared" si="168"/>
        <v>572765.52</v>
      </c>
      <c r="Z56" s="61">
        <f t="shared" si="168"/>
        <v>612927.96</v>
      </c>
      <c r="AA56" s="61">
        <f t="shared" si="168"/>
        <v>657067.92</v>
      </c>
      <c r="AB56" s="61">
        <f t="shared" si="168"/>
        <v>694995.96</v>
      </c>
      <c r="AC56" s="61">
        <f t="shared" si="168"/>
        <v>736400.88</v>
      </c>
      <c r="AD56" s="61">
        <f t="shared" si="168"/>
        <v>781170.72</v>
      </c>
      <c r="AE56" s="61">
        <f t="shared" si="168"/>
        <v>830097</v>
      </c>
      <c r="AF56" s="61">
        <f t="shared" si="168"/>
        <v>883230</v>
      </c>
      <c r="AG56" s="61">
        <f t="shared" si="168"/>
        <v>941557.56</v>
      </c>
      <c r="AH56" s="61">
        <f t="shared" si="168"/>
        <v>982899.48</v>
      </c>
      <c r="AI56" s="61">
        <f t="shared" si="168"/>
        <v>1031843.28</v>
      </c>
      <c r="AJ56" s="61">
        <f t="shared" si="168"/>
        <v>1092162.24</v>
      </c>
      <c r="AK56" s="14">
        <f t="shared" si="168"/>
        <v>9817118.52</v>
      </c>
      <c r="AL56" s="61">
        <f t="shared" si="168"/>
        <v>1218969.72</v>
      </c>
      <c r="AM56" s="61">
        <f t="shared" si="168"/>
        <v>1274750.88</v>
      </c>
      <c r="AN56" s="61">
        <f t="shared" si="168"/>
        <v>1333204.56</v>
      </c>
      <c r="AO56" s="61">
        <f t="shared" si="168"/>
        <v>1394630.4</v>
      </c>
      <c r="AP56" s="61">
        <f t="shared" si="168"/>
        <v>1459209.48</v>
      </c>
      <c r="AQ56" s="61">
        <f t="shared" si="168"/>
        <v>1495080.6</v>
      </c>
      <c r="AR56" s="61">
        <f t="shared" si="168"/>
        <v>1565367.6</v>
      </c>
      <c r="AS56" s="61">
        <f t="shared" si="168"/>
        <v>1675257.36</v>
      </c>
      <c r="AT56" s="61">
        <f t="shared" si="168"/>
        <v>1755286.32</v>
      </c>
      <c r="AU56" s="61">
        <f t="shared" si="168"/>
        <v>1839599.64</v>
      </c>
      <c r="AV56" s="61">
        <f t="shared" si="168"/>
        <v>1908329.64</v>
      </c>
      <c r="AW56" s="61">
        <f t="shared" si="168"/>
        <v>2001637.08</v>
      </c>
      <c r="AX56" s="14">
        <f t="shared" si="168"/>
        <v>18921323.28</v>
      </c>
      <c r="AY56" s="15">
        <f t="shared" ref="AY56:AY61" si="173">K56+X56+AK56+AX56</f>
        <v>32397980.21</v>
      </c>
    </row>
    <row r="57">
      <c r="A57" s="12" t="s">
        <v>64</v>
      </c>
      <c r="B57" s="13">
        <f t="shared" ref="B57:J57" si="169">-1500000/12</f>
        <v>-125000</v>
      </c>
      <c r="C57" s="13">
        <f t="shared" si="169"/>
        <v>-125000</v>
      </c>
      <c r="D57" s="13">
        <f t="shared" si="169"/>
        <v>-125000</v>
      </c>
      <c r="E57" s="13">
        <f t="shared" si="169"/>
        <v>-125000</v>
      </c>
      <c r="F57" s="13">
        <f t="shared" si="169"/>
        <v>-125000</v>
      </c>
      <c r="G57" s="13">
        <f t="shared" si="169"/>
        <v>-125000</v>
      </c>
      <c r="H57" s="13">
        <f t="shared" si="169"/>
        <v>-125000</v>
      </c>
      <c r="I57" s="13">
        <f t="shared" si="169"/>
        <v>-125000</v>
      </c>
      <c r="J57" s="13">
        <f t="shared" si="169"/>
        <v>-125000</v>
      </c>
      <c r="K57" s="14">
        <f t="shared" ref="K57:K58" si="175">SUM(B57:J57)</f>
        <v>-1125000</v>
      </c>
      <c r="L57" s="13">
        <f>J57*1.15</f>
        <v>-143750</v>
      </c>
      <c r="M57" s="13">
        <f t="shared" ref="M57:W57" si="170">L57</f>
        <v>-143750</v>
      </c>
      <c r="N57" s="13">
        <f t="shared" si="170"/>
        <v>-143750</v>
      </c>
      <c r="O57" s="13">
        <f t="shared" si="170"/>
        <v>-143750</v>
      </c>
      <c r="P57" s="13">
        <f t="shared" si="170"/>
        <v>-143750</v>
      </c>
      <c r="Q57" s="13">
        <f t="shared" si="170"/>
        <v>-143750</v>
      </c>
      <c r="R57" s="13">
        <f t="shared" si="170"/>
        <v>-143750</v>
      </c>
      <c r="S57" s="13">
        <f t="shared" si="170"/>
        <v>-143750</v>
      </c>
      <c r="T57" s="13">
        <f t="shared" si="170"/>
        <v>-143750</v>
      </c>
      <c r="U57" s="13">
        <f t="shared" si="170"/>
        <v>-143750</v>
      </c>
      <c r="V57" s="13">
        <f t="shared" si="170"/>
        <v>-143750</v>
      </c>
      <c r="W57" s="13">
        <f t="shared" si="170"/>
        <v>-143750</v>
      </c>
      <c r="X57" s="14">
        <f t="shared" ref="X57:X58" si="177">SUM(L57:W57)</f>
        <v>-1725000</v>
      </c>
      <c r="Y57" s="13">
        <f>W57*1.15</f>
        <v>-165312.5</v>
      </c>
      <c r="Z57" s="13">
        <f t="shared" ref="Z57:AJ57" si="171">Y57</f>
        <v>-165312.5</v>
      </c>
      <c r="AA57" s="13">
        <f t="shared" si="171"/>
        <v>-165312.5</v>
      </c>
      <c r="AB57" s="13">
        <f t="shared" si="171"/>
        <v>-165312.5</v>
      </c>
      <c r="AC57" s="13">
        <f t="shared" si="171"/>
        <v>-165312.5</v>
      </c>
      <c r="AD57" s="13">
        <f t="shared" si="171"/>
        <v>-165312.5</v>
      </c>
      <c r="AE57" s="13">
        <f t="shared" si="171"/>
        <v>-165312.5</v>
      </c>
      <c r="AF57" s="13">
        <f t="shared" si="171"/>
        <v>-165312.5</v>
      </c>
      <c r="AG57" s="13">
        <f t="shared" si="171"/>
        <v>-165312.5</v>
      </c>
      <c r="AH57" s="13">
        <f t="shared" si="171"/>
        <v>-165312.5</v>
      </c>
      <c r="AI57" s="13">
        <f t="shared" si="171"/>
        <v>-165312.5</v>
      </c>
      <c r="AJ57" s="13">
        <f t="shared" si="171"/>
        <v>-165312.5</v>
      </c>
      <c r="AK57" s="14">
        <f t="shared" ref="AK57:AK58" si="179">SUM(Y57:AJ57)</f>
        <v>-1983750</v>
      </c>
      <c r="AL57" s="13">
        <f>AJ57*1.15</f>
        <v>-190109.375</v>
      </c>
      <c r="AM57" s="13">
        <f t="shared" ref="AM57:AW57" si="172">AL57</f>
        <v>-190109.375</v>
      </c>
      <c r="AN57" s="13">
        <f t="shared" si="172"/>
        <v>-190109.375</v>
      </c>
      <c r="AO57" s="13">
        <f t="shared" si="172"/>
        <v>-190109.375</v>
      </c>
      <c r="AP57" s="13">
        <f t="shared" si="172"/>
        <v>-190109.375</v>
      </c>
      <c r="AQ57" s="13">
        <f t="shared" si="172"/>
        <v>-190109.375</v>
      </c>
      <c r="AR57" s="13">
        <f t="shared" si="172"/>
        <v>-190109.375</v>
      </c>
      <c r="AS57" s="13">
        <f t="shared" si="172"/>
        <v>-190109.375</v>
      </c>
      <c r="AT57" s="13">
        <f t="shared" si="172"/>
        <v>-190109.375</v>
      </c>
      <c r="AU57" s="13">
        <f t="shared" si="172"/>
        <v>-190109.375</v>
      </c>
      <c r="AV57" s="13">
        <f t="shared" si="172"/>
        <v>-190109.375</v>
      </c>
      <c r="AW57" s="13">
        <f t="shared" si="172"/>
        <v>-190109.375</v>
      </c>
      <c r="AX57" s="14">
        <f t="shared" ref="AX57:AX58" si="181">SUM(AL57:AW57)</f>
        <v>-2281312.5</v>
      </c>
      <c r="AY57" s="15">
        <f t="shared" si="173"/>
        <v>-7115062.5</v>
      </c>
    </row>
    <row r="58">
      <c r="A58" s="53" t="s">
        <v>65</v>
      </c>
      <c r="B58" s="61">
        <f t="shared" ref="B58:J58" si="174">-600000/12</f>
        <v>-50000</v>
      </c>
      <c r="C58" s="61">
        <f t="shared" si="174"/>
        <v>-50000</v>
      </c>
      <c r="D58" s="61">
        <f t="shared" si="174"/>
        <v>-50000</v>
      </c>
      <c r="E58" s="61">
        <f t="shared" si="174"/>
        <v>-50000</v>
      </c>
      <c r="F58" s="61">
        <f t="shared" si="174"/>
        <v>-50000</v>
      </c>
      <c r="G58" s="61">
        <f t="shared" si="174"/>
        <v>-50000</v>
      </c>
      <c r="H58" s="61">
        <f t="shared" si="174"/>
        <v>-50000</v>
      </c>
      <c r="I58" s="61">
        <f t="shared" si="174"/>
        <v>-50000</v>
      </c>
      <c r="J58" s="61">
        <f t="shared" si="174"/>
        <v>-50000</v>
      </c>
      <c r="K58" s="14">
        <f t="shared" si="175"/>
        <v>-450000</v>
      </c>
      <c r="L58" s="61">
        <f>J58*1.25</f>
        <v>-62500</v>
      </c>
      <c r="M58" s="61">
        <f t="shared" ref="M58:W58" si="176">L58</f>
        <v>-62500</v>
      </c>
      <c r="N58" s="61">
        <f t="shared" si="176"/>
        <v>-62500</v>
      </c>
      <c r="O58" s="61">
        <f t="shared" si="176"/>
        <v>-62500</v>
      </c>
      <c r="P58" s="61">
        <f t="shared" si="176"/>
        <v>-62500</v>
      </c>
      <c r="Q58" s="61">
        <f t="shared" si="176"/>
        <v>-62500</v>
      </c>
      <c r="R58" s="61">
        <f t="shared" si="176"/>
        <v>-62500</v>
      </c>
      <c r="S58" s="61">
        <f t="shared" si="176"/>
        <v>-62500</v>
      </c>
      <c r="T58" s="61">
        <f t="shared" si="176"/>
        <v>-62500</v>
      </c>
      <c r="U58" s="61">
        <f t="shared" si="176"/>
        <v>-62500</v>
      </c>
      <c r="V58" s="61">
        <f t="shared" si="176"/>
        <v>-62500</v>
      </c>
      <c r="W58" s="61">
        <f t="shared" si="176"/>
        <v>-62500</v>
      </c>
      <c r="X58" s="14">
        <f t="shared" si="177"/>
        <v>-750000</v>
      </c>
      <c r="Y58" s="61">
        <f>W58*1.25</f>
        <v>-78125</v>
      </c>
      <c r="Z58" s="61">
        <f t="shared" ref="Z58:AJ58" si="178">Y58</f>
        <v>-78125</v>
      </c>
      <c r="AA58" s="61">
        <f t="shared" si="178"/>
        <v>-78125</v>
      </c>
      <c r="AB58" s="61">
        <f t="shared" si="178"/>
        <v>-78125</v>
      </c>
      <c r="AC58" s="61">
        <f t="shared" si="178"/>
        <v>-78125</v>
      </c>
      <c r="AD58" s="61">
        <f t="shared" si="178"/>
        <v>-78125</v>
      </c>
      <c r="AE58" s="61">
        <f t="shared" si="178"/>
        <v>-78125</v>
      </c>
      <c r="AF58" s="61">
        <f t="shared" si="178"/>
        <v>-78125</v>
      </c>
      <c r="AG58" s="61">
        <f t="shared" si="178"/>
        <v>-78125</v>
      </c>
      <c r="AH58" s="61">
        <f t="shared" si="178"/>
        <v>-78125</v>
      </c>
      <c r="AI58" s="61">
        <f t="shared" si="178"/>
        <v>-78125</v>
      </c>
      <c r="AJ58" s="61">
        <f t="shared" si="178"/>
        <v>-78125</v>
      </c>
      <c r="AK58" s="14">
        <f t="shared" si="179"/>
        <v>-937500</v>
      </c>
      <c r="AL58" s="61">
        <f>AJ58*1.25</f>
        <v>-97656.25</v>
      </c>
      <c r="AM58" s="61">
        <f t="shared" ref="AM58:AW58" si="180">AL58</f>
        <v>-97656.25</v>
      </c>
      <c r="AN58" s="61">
        <f t="shared" si="180"/>
        <v>-97656.25</v>
      </c>
      <c r="AO58" s="61">
        <f t="shared" si="180"/>
        <v>-97656.25</v>
      </c>
      <c r="AP58" s="61">
        <f t="shared" si="180"/>
        <v>-97656.25</v>
      </c>
      <c r="AQ58" s="61">
        <f t="shared" si="180"/>
        <v>-97656.25</v>
      </c>
      <c r="AR58" s="61">
        <f t="shared" si="180"/>
        <v>-97656.25</v>
      </c>
      <c r="AS58" s="61">
        <f t="shared" si="180"/>
        <v>-97656.25</v>
      </c>
      <c r="AT58" s="61">
        <f t="shared" si="180"/>
        <v>-97656.25</v>
      </c>
      <c r="AU58" s="61">
        <f t="shared" si="180"/>
        <v>-97656.25</v>
      </c>
      <c r="AV58" s="61">
        <f t="shared" si="180"/>
        <v>-97656.25</v>
      </c>
      <c r="AW58" s="61">
        <f t="shared" si="180"/>
        <v>-97656.25</v>
      </c>
      <c r="AX58" s="14">
        <f t="shared" si="181"/>
        <v>-1171875</v>
      </c>
      <c r="AY58" s="15">
        <f t="shared" si="173"/>
        <v>-3309375</v>
      </c>
    </row>
    <row r="59">
      <c r="A59" s="12" t="s">
        <v>66</v>
      </c>
      <c r="B59" s="13">
        <f t="shared" ref="B59:AX59" si="182">B5*-1</f>
        <v>-851568</v>
      </c>
      <c r="C59" s="13">
        <f t="shared" si="182"/>
        <v>-852521</v>
      </c>
      <c r="D59" s="13">
        <f t="shared" si="182"/>
        <v>-849727</v>
      </c>
      <c r="E59" s="13">
        <f t="shared" si="182"/>
        <v>-854989</v>
      </c>
      <c r="F59" s="13">
        <f t="shared" si="182"/>
        <v>-786045</v>
      </c>
      <c r="G59" s="13">
        <f t="shared" si="182"/>
        <v>-789045</v>
      </c>
      <c r="H59" s="13">
        <f t="shared" si="182"/>
        <v>-793045</v>
      </c>
      <c r="I59" s="13">
        <f t="shared" si="182"/>
        <v>-796045</v>
      </c>
      <c r="J59" s="13">
        <f t="shared" si="182"/>
        <v>-791945</v>
      </c>
      <c r="K59" s="14">
        <f t="shared" si="182"/>
        <v>-7364930</v>
      </c>
      <c r="L59" s="13">
        <f t="shared" si="182"/>
        <v>-833333</v>
      </c>
      <c r="M59" s="13">
        <f t="shared" si="182"/>
        <v>-833333</v>
      </c>
      <c r="N59" s="13">
        <f t="shared" si="182"/>
        <v>-833333</v>
      </c>
      <c r="O59" s="13">
        <f t="shared" si="182"/>
        <v>-833333</v>
      </c>
      <c r="P59" s="13">
        <f t="shared" si="182"/>
        <v>-833333</v>
      </c>
      <c r="Q59" s="13">
        <f t="shared" si="182"/>
        <v>-833333</v>
      </c>
      <c r="R59" s="13">
        <f t="shared" si="182"/>
        <v>-833333</v>
      </c>
      <c r="S59" s="13">
        <f t="shared" si="182"/>
        <v>-833333</v>
      </c>
      <c r="T59" s="13">
        <f t="shared" si="182"/>
        <v>-833333</v>
      </c>
      <c r="U59" s="13">
        <f t="shared" si="182"/>
        <v>-833333</v>
      </c>
      <c r="V59" s="13">
        <f t="shared" si="182"/>
        <v>-833333</v>
      </c>
      <c r="W59" s="13">
        <f t="shared" si="182"/>
        <v>-833333</v>
      </c>
      <c r="X59" s="14">
        <f t="shared" si="182"/>
        <v>-9999996</v>
      </c>
      <c r="Y59" s="13">
        <f t="shared" si="182"/>
        <v>-833333</v>
      </c>
      <c r="Z59" s="13">
        <f t="shared" si="182"/>
        <v>-833333</v>
      </c>
      <c r="AA59" s="13">
        <f t="shared" si="182"/>
        <v>-833333</v>
      </c>
      <c r="AB59" s="13">
        <f t="shared" si="182"/>
        <v>-833333</v>
      </c>
      <c r="AC59" s="13">
        <f t="shared" si="182"/>
        <v>-833333</v>
      </c>
      <c r="AD59" s="13">
        <f t="shared" si="182"/>
        <v>-833333</v>
      </c>
      <c r="AE59" s="13">
        <f t="shared" si="182"/>
        <v>-833333</v>
      </c>
      <c r="AF59" s="13">
        <f t="shared" si="182"/>
        <v>-833333</v>
      </c>
      <c r="AG59" s="13">
        <f t="shared" si="182"/>
        <v>-833333</v>
      </c>
      <c r="AH59" s="13">
        <f t="shared" si="182"/>
        <v>-833333</v>
      </c>
      <c r="AI59" s="13">
        <f t="shared" si="182"/>
        <v>-833333</v>
      </c>
      <c r="AJ59" s="13">
        <f t="shared" si="182"/>
        <v>-833333</v>
      </c>
      <c r="AK59" s="14">
        <f t="shared" si="182"/>
        <v>-9999996</v>
      </c>
      <c r="AL59" s="13">
        <f t="shared" si="182"/>
        <v>-833333</v>
      </c>
      <c r="AM59" s="13">
        <f t="shared" si="182"/>
        <v>-833333</v>
      </c>
      <c r="AN59" s="13">
        <f t="shared" si="182"/>
        <v>-833333</v>
      </c>
      <c r="AO59" s="13">
        <f t="shared" si="182"/>
        <v>-833333</v>
      </c>
      <c r="AP59" s="13">
        <f t="shared" si="182"/>
        <v>-833333</v>
      </c>
      <c r="AQ59" s="13">
        <f t="shared" si="182"/>
        <v>-833333</v>
      </c>
      <c r="AR59" s="13">
        <f t="shared" si="182"/>
        <v>-833333</v>
      </c>
      <c r="AS59" s="13">
        <f t="shared" si="182"/>
        <v>-833333</v>
      </c>
      <c r="AT59" s="13">
        <f t="shared" si="182"/>
        <v>-833333</v>
      </c>
      <c r="AU59" s="13">
        <f t="shared" si="182"/>
        <v>-833333</v>
      </c>
      <c r="AV59" s="13">
        <f t="shared" si="182"/>
        <v>-833333</v>
      </c>
      <c r="AW59" s="13">
        <f t="shared" si="182"/>
        <v>-833333</v>
      </c>
      <c r="AX59" s="14">
        <f t="shared" si="182"/>
        <v>-9999996</v>
      </c>
      <c r="AY59" s="15">
        <f t="shared" si="173"/>
        <v>-37364918</v>
      </c>
    </row>
    <row r="60">
      <c r="A60" s="53" t="s">
        <v>67</v>
      </c>
      <c r="B60" s="61">
        <f t="shared" ref="B60:J60" si="183">-200000/12</f>
        <v>-16666.66667</v>
      </c>
      <c r="C60" s="61">
        <f t="shared" si="183"/>
        <v>-16666.66667</v>
      </c>
      <c r="D60" s="61">
        <f t="shared" si="183"/>
        <v>-16666.66667</v>
      </c>
      <c r="E60" s="61">
        <f t="shared" si="183"/>
        <v>-16666.66667</v>
      </c>
      <c r="F60" s="61">
        <f t="shared" si="183"/>
        <v>-16666.66667</v>
      </c>
      <c r="G60" s="61">
        <f t="shared" si="183"/>
        <v>-16666.66667</v>
      </c>
      <c r="H60" s="61">
        <f t="shared" si="183"/>
        <v>-16666.66667</v>
      </c>
      <c r="I60" s="61">
        <f t="shared" si="183"/>
        <v>-16666.66667</v>
      </c>
      <c r="J60" s="61">
        <f t="shared" si="183"/>
        <v>-16666.66667</v>
      </c>
      <c r="K60" s="14">
        <f>SUM(B60:J60)</f>
        <v>-150000</v>
      </c>
      <c r="L60" s="61">
        <f>J60*1.15</f>
        <v>-19166.66667</v>
      </c>
      <c r="M60" s="61">
        <f t="shared" ref="M60:W60" si="184">L60</f>
        <v>-19166.66667</v>
      </c>
      <c r="N60" s="61">
        <f t="shared" si="184"/>
        <v>-19166.66667</v>
      </c>
      <c r="O60" s="61">
        <f t="shared" si="184"/>
        <v>-19166.66667</v>
      </c>
      <c r="P60" s="61">
        <f t="shared" si="184"/>
        <v>-19166.66667</v>
      </c>
      <c r="Q60" s="61">
        <f t="shared" si="184"/>
        <v>-19166.66667</v>
      </c>
      <c r="R60" s="61">
        <f t="shared" si="184"/>
        <v>-19166.66667</v>
      </c>
      <c r="S60" s="61">
        <f t="shared" si="184"/>
        <v>-19166.66667</v>
      </c>
      <c r="T60" s="61">
        <f t="shared" si="184"/>
        <v>-19166.66667</v>
      </c>
      <c r="U60" s="61">
        <f t="shared" si="184"/>
        <v>-19166.66667</v>
      </c>
      <c r="V60" s="61">
        <f t="shared" si="184"/>
        <v>-19166.66667</v>
      </c>
      <c r="W60" s="61">
        <f t="shared" si="184"/>
        <v>-19166.66667</v>
      </c>
      <c r="X60" s="14">
        <f>SUM(L60:W60)</f>
        <v>-230000</v>
      </c>
      <c r="Y60" s="61">
        <f>W60*1.15</f>
        <v>-22041.66667</v>
      </c>
      <c r="Z60" s="61">
        <f t="shared" ref="Z60:AJ60" si="185">Y60</f>
        <v>-22041.66667</v>
      </c>
      <c r="AA60" s="61">
        <f t="shared" si="185"/>
        <v>-22041.66667</v>
      </c>
      <c r="AB60" s="61">
        <f t="shared" si="185"/>
        <v>-22041.66667</v>
      </c>
      <c r="AC60" s="61">
        <f t="shared" si="185"/>
        <v>-22041.66667</v>
      </c>
      <c r="AD60" s="61">
        <f t="shared" si="185"/>
        <v>-22041.66667</v>
      </c>
      <c r="AE60" s="61">
        <f t="shared" si="185"/>
        <v>-22041.66667</v>
      </c>
      <c r="AF60" s="61">
        <f t="shared" si="185"/>
        <v>-22041.66667</v>
      </c>
      <c r="AG60" s="61">
        <f t="shared" si="185"/>
        <v>-22041.66667</v>
      </c>
      <c r="AH60" s="61">
        <f t="shared" si="185"/>
        <v>-22041.66667</v>
      </c>
      <c r="AI60" s="61">
        <f t="shared" si="185"/>
        <v>-22041.66667</v>
      </c>
      <c r="AJ60" s="61">
        <f t="shared" si="185"/>
        <v>-22041.66667</v>
      </c>
      <c r="AK60" s="14">
        <f>SUM(Y60:AJ60)</f>
        <v>-264500</v>
      </c>
      <c r="AL60" s="61">
        <f>AJ60*1.15</f>
        <v>-25347.91667</v>
      </c>
      <c r="AM60" s="61">
        <f t="shared" ref="AM60:AW60" si="186">AL60</f>
        <v>-25347.91667</v>
      </c>
      <c r="AN60" s="61">
        <f t="shared" si="186"/>
        <v>-25347.91667</v>
      </c>
      <c r="AO60" s="61">
        <f t="shared" si="186"/>
        <v>-25347.91667</v>
      </c>
      <c r="AP60" s="61">
        <f t="shared" si="186"/>
        <v>-25347.91667</v>
      </c>
      <c r="AQ60" s="61">
        <f t="shared" si="186"/>
        <v>-25347.91667</v>
      </c>
      <c r="AR60" s="61">
        <f t="shared" si="186"/>
        <v>-25347.91667</v>
      </c>
      <c r="AS60" s="61">
        <f t="shared" si="186"/>
        <v>-25347.91667</v>
      </c>
      <c r="AT60" s="61">
        <f t="shared" si="186"/>
        <v>-25347.91667</v>
      </c>
      <c r="AU60" s="61">
        <f t="shared" si="186"/>
        <v>-25347.91667</v>
      </c>
      <c r="AV60" s="61">
        <f t="shared" si="186"/>
        <v>-25347.91667</v>
      </c>
      <c r="AW60" s="61">
        <f t="shared" si="186"/>
        <v>-25347.91667</v>
      </c>
      <c r="AX60" s="14">
        <f>SUM(AL60:AW60)</f>
        <v>-304175</v>
      </c>
      <c r="AY60" s="15">
        <f t="shared" si="173"/>
        <v>-948675</v>
      </c>
    </row>
    <row r="61">
      <c r="A61" s="81" t="s">
        <v>68</v>
      </c>
      <c r="B61" s="41">
        <f t="shared" ref="B61:AX61" si="187">SUM(B56:B60)</f>
        <v>-1017851.287</v>
      </c>
      <c r="C61" s="41">
        <f t="shared" si="187"/>
        <v>-1011772.757</v>
      </c>
      <c r="D61" s="41">
        <f t="shared" si="187"/>
        <v>-998981.9567</v>
      </c>
      <c r="E61" s="41">
        <f t="shared" si="187"/>
        <v>-999371.2867</v>
      </c>
      <c r="F61" s="41">
        <f t="shared" si="187"/>
        <v>-932758.1867</v>
      </c>
      <c r="G61" s="41">
        <f t="shared" si="187"/>
        <v>-931498.2167</v>
      </c>
      <c r="H61" s="41">
        <f t="shared" si="187"/>
        <v>-928130.6367</v>
      </c>
      <c r="I61" s="41">
        <f t="shared" si="187"/>
        <v>-924396.9867</v>
      </c>
      <c r="J61" s="41">
        <f t="shared" si="187"/>
        <v>-908790.4367</v>
      </c>
      <c r="K61" s="41">
        <f t="shared" si="187"/>
        <v>-8653551.75</v>
      </c>
      <c r="L61" s="41">
        <f t="shared" si="187"/>
        <v>-944891.7467</v>
      </c>
      <c r="M61" s="41">
        <f t="shared" si="187"/>
        <v>-919884.5667</v>
      </c>
      <c r="N61" s="41">
        <f t="shared" si="187"/>
        <v>-888713.4267</v>
      </c>
      <c r="O61" s="41">
        <f t="shared" si="187"/>
        <v>-859795.3067</v>
      </c>
      <c r="P61" s="41">
        <f t="shared" si="187"/>
        <v>-829482.9367</v>
      </c>
      <c r="Q61" s="41">
        <f t="shared" si="187"/>
        <v>-802835.8767</v>
      </c>
      <c r="R61" s="41">
        <f t="shared" si="187"/>
        <v>-777230.8467</v>
      </c>
      <c r="S61" s="41">
        <f t="shared" si="187"/>
        <v>-744962.5667</v>
      </c>
      <c r="T61" s="41">
        <f t="shared" si="187"/>
        <v>-718452.8967</v>
      </c>
      <c r="U61" s="41">
        <f t="shared" si="187"/>
        <v>-689733.5467</v>
      </c>
      <c r="V61" s="41">
        <f t="shared" si="187"/>
        <v>-664068.8967</v>
      </c>
      <c r="W61" s="41">
        <f t="shared" si="187"/>
        <v>-641783.2267</v>
      </c>
      <c r="X61" s="41">
        <f t="shared" si="187"/>
        <v>-9481835.84</v>
      </c>
      <c r="Y61" s="41">
        <f t="shared" si="187"/>
        <v>-526046.6467</v>
      </c>
      <c r="Z61" s="41">
        <f t="shared" si="187"/>
        <v>-485884.2067</v>
      </c>
      <c r="AA61" s="41">
        <f t="shared" si="187"/>
        <v>-441744.2467</v>
      </c>
      <c r="AB61" s="41">
        <f t="shared" si="187"/>
        <v>-403816.2067</v>
      </c>
      <c r="AC61" s="41">
        <f t="shared" si="187"/>
        <v>-362411.2867</v>
      </c>
      <c r="AD61" s="41">
        <f t="shared" si="187"/>
        <v>-317641.4467</v>
      </c>
      <c r="AE61" s="41">
        <f t="shared" si="187"/>
        <v>-268715.1667</v>
      </c>
      <c r="AF61" s="41">
        <f t="shared" si="187"/>
        <v>-215582.1667</v>
      </c>
      <c r="AG61" s="41">
        <f t="shared" si="187"/>
        <v>-157254.6067</v>
      </c>
      <c r="AH61" s="41">
        <f t="shared" si="187"/>
        <v>-115912.6867</v>
      </c>
      <c r="AI61" s="41">
        <f t="shared" si="187"/>
        <v>-66968.88667</v>
      </c>
      <c r="AJ61" s="41">
        <f t="shared" si="187"/>
        <v>-6649.926667</v>
      </c>
      <c r="AK61" s="41">
        <f t="shared" si="187"/>
        <v>-3368627.48</v>
      </c>
      <c r="AL61" s="41">
        <f t="shared" si="187"/>
        <v>72523.17833</v>
      </c>
      <c r="AM61" s="41">
        <f t="shared" si="187"/>
        <v>128304.3383</v>
      </c>
      <c r="AN61" s="41">
        <f t="shared" si="187"/>
        <v>186758.0183</v>
      </c>
      <c r="AO61" s="41">
        <f t="shared" si="187"/>
        <v>248183.8583</v>
      </c>
      <c r="AP61" s="41">
        <f t="shared" si="187"/>
        <v>312762.9383</v>
      </c>
      <c r="AQ61" s="41">
        <f t="shared" si="187"/>
        <v>348634.0583</v>
      </c>
      <c r="AR61" s="41">
        <f t="shared" si="187"/>
        <v>418921.0583</v>
      </c>
      <c r="AS61" s="41">
        <f t="shared" si="187"/>
        <v>528810.8183</v>
      </c>
      <c r="AT61" s="41">
        <f t="shared" si="187"/>
        <v>608839.7783</v>
      </c>
      <c r="AU61" s="41">
        <f t="shared" si="187"/>
        <v>693153.0983</v>
      </c>
      <c r="AV61" s="41">
        <f t="shared" si="187"/>
        <v>761883.0983</v>
      </c>
      <c r="AW61" s="41">
        <f t="shared" si="187"/>
        <v>855190.5383</v>
      </c>
      <c r="AX61" s="41">
        <f t="shared" si="187"/>
        <v>5163964.78</v>
      </c>
      <c r="AY61" s="15">
        <f t="shared" si="173"/>
        <v>-16340050.29</v>
      </c>
    </row>
    <row r="62">
      <c r="A62" s="106"/>
      <c r="B62" s="107"/>
    </row>
    <row r="63">
      <c r="A63" s="108" t="s">
        <v>69</v>
      </c>
      <c r="B63" s="109">
        <f t="shared" ref="B63:AY63" si="188">-B48/B59</f>
        <v>0.05419602428</v>
      </c>
      <c r="C63" s="109">
        <f t="shared" si="188"/>
        <v>0.06913166948</v>
      </c>
      <c r="D63" s="109">
        <f t="shared" si="188"/>
        <v>0.09074938186</v>
      </c>
      <c r="E63" s="109">
        <f t="shared" si="188"/>
        <v>0.1005528726</v>
      </c>
      <c r="F63" s="109">
        <f t="shared" si="188"/>
        <v>0.1039808153</v>
      </c>
      <c r="G63" s="109">
        <f t="shared" si="188"/>
        <v>0.1134016438</v>
      </c>
      <c r="H63" s="109">
        <f t="shared" si="188"/>
        <v>0.129721012</v>
      </c>
      <c r="I63" s="109">
        <f t="shared" si="188"/>
        <v>0.1446119252</v>
      </c>
      <c r="J63" s="109">
        <f t="shared" si="188"/>
        <v>0.1717778381</v>
      </c>
      <c r="K63" s="109">
        <f t="shared" si="188"/>
        <v>0.1077287904</v>
      </c>
      <c r="L63" s="109">
        <f t="shared" si="188"/>
        <v>0.2484173794</v>
      </c>
      <c r="M63" s="109">
        <f t="shared" si="188"/>
        <v>0.3029785212</v>
      </c>
      <c r="N63" s="109">
        <f t="shared" si="188"/>
        <v>0.3709883084</v>
      </c>
      <c r="O63" s="109">
        <f t="shared" si="188"/>
        <v>0.4340824136</v>
      </c>
      <c r="P63" s="109">
        <f t="shared" si="188"/>
        <v>0.5002185201</v>
      </c>
      <c r="Q63" s="109">
        <f t="shared" si="188"/>
        <v>0.5583575833</v>
      </c>
      <c r="R63" s="109">
        <f t="shared" si="188"/>
        <v>0.6142231257</v>
      </c>
      <c r="S63" s="109">
        <f t="shared" si="188"/>
        <v>0.6846266739</v>
      </c>
      <c r="T63" s="109">
        <f t="shared" si="188"/>
        <v>0.742465977</v>
      </c>
      <c r="U63" s="109">
        <f t="shared" si="188"/>
        <v>0.8051264021</v>
      </c>
      <c r="V63" s="109">
        <f t="shared" si="188"/>
        <v>0.8611220244</v>
      </c>
      <c r="W63" s="109">
        <f t="shared" si="188"/>
        <v>0.9097453239</v>
      </c>
      <c r="X63" s="109">
        <f t="shared" si="188"/>
        <v>0.5860293544</v>
      </c>
      <c r="Y63" s="109">
        <f t="shared" si="188"/>
        <v>1.145531498</v>
      </c>
      <c r="Z63" s="109">
        <f t="shared" si="188"/>
        <v>1.22585641</v>
      </c>
      <c r="AA63" s="109">
        <f t="shared" si="188"/>
        <v>1.314136366</v>
      </c>
      <c r="AB63" s="109">
        <f t="shared" si="188"/>
        <v>1.389992476</v>
      </c>
      <c r="AC63" s="109">
        <f t="shared" si="188"/>
        <v>1.472802349</v>
      </c>
      <c r="AD63" s="109">
        <f t="shared" si="188"/>
        <v>1.562342065</v>
      </c>
      <c r="AE63" s="109">
        <f t="shared" si="188"/>
        <v>1.660194664</v>
      </c>
      <c r="AF63" s="109">
        <f t="shared" si="188"/>
        <v>1.766460707</v>
      </c>
      <c r="AG63" s="109">
        <f t="shared" si="188"/>
        <v>1.883115873</v>
      </c>
      <c r="AH63" s="109">
        <f t="shared" si="188"/>
        <v>1.965799746</v>
      </c>
      <c r="AI63" s="109">
        <f t="shared" si="188"/>
        <v>2.063687385</v>
      </c>
      <c r="AJ63" s="109">
        <f t="shared" si="188"/>
        <v>2.184325354</v>
      </c>
      <c r="AK63" s="109">
        <f t="shared" si="188"/>
        <v>1.636187074</v>
      </c>
      <c r="AL63" s="109">
        <f t="shared" si="188"/>
        <v>2.437940415</v>
      </c>
      <c r="AM63" s="109">
        <f t="shared" si="188"/>
        <v>2.54950278</v>
      </c>
      <c r="AN63" s="109">
        <f t="shared" si="188"/>
        <v>2.666410187</v>
      </c>
      <c r="AO63" s="109">
        <f t="shared" si="188"/>
        <v>2.789261916</v>
      </c>
      <c r="AP63" s="109">
        <f t="shared" si="188"/>
        <v>2.918420127</v>
      </c>
      <c r="AQ63" s="109">
        <f t="shared" si="188"/>
        <v>2.990162396</v>
      </c>
      <c r="AR63" s="109">
        <f t="shared" si="188"/>
        <v>3.130736452</v>
      </c>
      <c r="AS63" s="109">
        <f t="shared" si="188"/>
        <v>3.35051606</v>
      </c>
      <c r="AT63" s="109">
        <f t="shared" si="188"/>
        <v>3.510574044</v>
      </c>
      <c r="AU63" s="109">
        <f t="shared" si="188"/>
        <v>3.679200752</v>
      </c>
      <c r="AV63" s="109">
        <f t="shared" si="188"/>
        <v>3.816660807</v>
      </c>
      <c r="AW63" s="109">
        <f t="shared" si="188"/>
        <v>4.003275761</v>
      </c>
      <c r="AX63" s="109">
        <f t="shared" si="188"/>
        <v>3.153555141</v>
      </c>
      <c r="AY63" s="109">
        <f t="shared" si="188"/>
        <v>1.459955277</v>
      </c>
    </row>
    <row r="64">
      <c r="A64" s="108" t="s">
        <v>70</v>
      </c>
      <c r="B64" s="110">
        <f t="shared" ref="B64:AY64" si="189">-B57-B58-B60</f>
        <v>191666.6667</v>
      </c>
      <c r="C64" s="110">
        <f t="shared" si="189"/>
        <v>191666.6667</v>
      </c>
      <c r="D64" s="110">
        <f t="shared" si="189"/>
        <v>191666.6667</v>
      </c>
      <c r="E64" s="110">
        <f t="shared" si="189"/>
        <v>191666.6667</v>
      </c>
      <c r="F64" s="110">
        <f t="shared" si="189"/>
        <v>191666.6667</v>
      </c>
      <c r="G64" s="110">
        <f t="shared" si="189"/>
        <v>191666.6667</v>
      </c>
      <c r="H64" s="110">
        <f t="shared" si="189"/>
        <v>191666.6667</v>
      </c>
      <c r="I64" s="110">
        <f t="shared" si="189"/>
        <v>191666.6667</v>
      </c>
      <c r="J64" s="110">
        <f t="shared" si="189"/>
        <v>191666.6667</v>
      </c>
      <c r="K64" s="110">
        <f t="shared" si="189"/>
        <v>1725000</v>
      </c>
      <c r="L64" s="110">
        <f t="shared" si="189"/>
        <v>225416.6667</v>
      </c>
      <c r="M64" s="110">
        <f t="shared" si="189"/>
        <v>225416.6667</v>
      </c>
      <c r="N64" s="110">
        <f t="shared" si="189"/>
        <v>225416.6667</v>
      </c>
      <c r="O64" s="110">
        <f t="shared" si="189"/>
        <v>225416.6667</v>
      </c>
      <c r="P64" s="110">
        <f t="shared" si="189"/>
        <v>225416.6667</v>
      </c>
      <c r="Q64" s="110">
        <f t="shared" si="189"/>
        <v>225416.6667</v>
      </c>
      <c r="R64" s="110">
        <f t="shared" si="189"/>
        <v>225416.6667</v>
      </c>
      <c r="S64" s="110">
        <f t="shared" si="189"/>
        <v>225416.6667</v>
      </c>
      <c r="T64" s="110">
        <f t="shared" si="189"/>
        <v>225416.6667</v>
      </c>
      <c r="U64" s="110">
        <f t="shared" si="189"/>
        <v>225416.6667</v>
      </c>
      <c r="V64" s="110">
        <f t="shared" si="189"/>
        <v>225416.6667</v>
      </c>
      <c r="W64" s="110">
        <f t="shared" si="189"/>
        <v>225416.6667</v>
      </c>
      <c r="X64" s="110">
        <f t="shared" si="189"/>
        <v>2705000</v>
      </c>
      <c r="Y64" s="110">
        <f t="shared" si="189"/>
        <v>265479.1667</v>
      </c>
      <c r="Z64" s="110">
        <f t="shared" si="189"/>
        <v>265479.1667</v>
      </c>
      <c r="AA64" s="110">
        <f t="shared" si="189"/>
        <v>265479.1667</v>
      </c>
      <c r="AB64" s="110">
        <f t="shared" si="189"/>
        <v>265479.1667</v>
      </c>
      <c r="AC64" s="110">
        <f t="shared" si="189"/>
        <v>265479.1667</v>
      </c>
      <c r="AD64" s="110">
        <f t="shared" si="189"/>
        <v>265479.1667</v>
      </c>
      <c r="AE64" s="110">
        <f t="shared" si="189"/>
        <v>265479.1667</v>
      </c>
      <c r="AF64" s="110">
        <f t="shared" si="189"/>
        <v>265479.1667</v>
      </c>
      <c r="AG64" s="110">
        <f t="shared" si="189"/>
        <v>265479.1667</v>
      </c>
      <c r="AH64" s="110">
        <f t="shared" si="189"/>
        <v>265479.1667</v>
      </c>
      <c r="AI64" s="110">
        <f t="shared" si="189"/>
        <v>265479.1667</v>
      </c>
      <c r="AJ64" s="110">
        <f t="shared" si="189"/>
        <v>265479.1667</v>
      </c>
      <c r="AK64" s="110">
        <f t="shared" si="189"/>
        <v>3185750</v>
      </c>
      <c r="AL64" s="110">
        <f t="shared" si="189"/>
        <v>313113.5417</v>
      </c>
      <c r="AM64" s="110">
        <f t="shared" si="189"/>
        <v>313113.5417</v>
      </c>
      <c r="AN64" s="110">
        <f t="shared" si="189"/>
        <v>313113.5417</v>
      </c>
      <c r="AO64" s="110">
        <f t="shared" si="189"/>
        <v>313113.5417</v>
      </c>
      <c r="AP64" s="110">
        <f t="shared" si="189"/>
        <v>313113.5417</v>
      </c>
      <c r="AQ64" s="110">
        <f t="shared" si="189"/>
        <v>313113.5417</v>
      </c>
      <c r="AR64" s="110">
        <f t="shared" si="189"/>
        <v>313113.5417</v>
      </c>
      <c r="AS64" s="110">
        <f t="shared" si="189"/>
        <v>313113.5417</v>
      </c>
      <c r="AT64" s="110">
        <f t="shared" si="189"/>
        <v>313113.5417</v>
      </c>
      <c r="AU64" s="110">
        <f t="shared" si="189"/>
        <v>313113.5417</v>
      </c>
      <c r="AV64" s="110">
        <f t="shared" si="189"/>
        <v>313113.5417</v>
      </c>
      <c r="AW64" s="110">
        <f t="shared" si="189"/>
        <v>313113.5417</v>
      </c>
      <c r="AX64" s="110">
        <f t="shared" si="189"/>
        <v>3757362.5</v>
      </c>
      <c r="AY64" s="110">
        <f t="shared" si="189"/>
        <v>11373112.5</v>
      </c>
    </row>
    <row r="65">
      <c r="A65" s="108" t="s">
        <v>71</v>
      </c>
      <c r="B65" s="109">
        <f t="shared" ref="B65:AY65" si="190">B64/B48</f>
        <v>4.152979889</v>
      </c>
      <c r="C65" s="109">
        <f t="shared" si="190"/>
        <v>3.252104253</v>
      </c>
      <c r="D65" s="109">
        <f t="shared" si="190"/>
        <v>2.485555679</v>
      </c>
      <c r="E65" s="109">
        <f t="shared" si="190"/>
        <v>2.229418397</v>
      </c>
      <c r="F65" s="109">
        <f t="shared" si="190"/>
        <v>2.345016819</v>
      </c>
      <c r="G65" s="109">
        <f t="shared" si="190"/>
        <v>2.142029601</v>
      </c>
      <c r="H65" s="109">
        <f t="shared" si="190"/>
        <v>1.863109715</v>
      </c>
      <c r="I65" s="109">
        <f t="shared" si="190"/>
        <v>1.66496406</v>
      </c>
      <c r="J65" s="109">
        <f t="shared" si="190"/>
        <v>1.408913843</v>
      </c>
      <c r="K65" s="109">
        <f t="shared" si="190"/>
        <v>2.174145939</v>
      </c>
      <c r="L65" s="109">
        <f t="shared" si="190"/>
        <v>1.088893655</v>
      </c>
      <c r="M65" s="109">
        <f t="shared" si="190"/>
        <v>0.8928029193</v>
      </c>
      <c r="N65" s="109">
        <f t="shared" si="190"/>
        <v>0.7291337815</v>
      </c>
      <c r="O65" s="109">
        <f t="shared" si="190"/>
        <v>0.6231538061</v>
      </c>
      <c r="P65" s="109">
        <f t="shared" si="190"/>
        <v>0.5407638809</v>
      </c>
      <c r="Q65" s="109">
        <f t="shared" si="190"/>
        <v>0.4844567644</v>
      </c>
      <c r="R65" s="109">
        <f t="shared" si="190"/>
        <v>0.4403938844</v>
      </c>
      <c r="S65" s="109">
        <f t="shared" si="190"/>
        <v>0.3951060023</v>
      </c>
      <c r="T65" s="109">
        <f t="shared" si="190"/>
        <v>0.3643266043</v>
      </c>
      <c r="U65" s="109">
        <f t="shared" si="190"/>
        <v>0.3359722244</v>
      </c>
      <c r="V65" s="109">
        <f t="shared" si="190"/>
        <v>0.3141251768</v>
      </c>
      <c r="W65" s="109">
        <f t="shared" si="190"/>
        <v>0.2973360798</v>
      </c>
      <c r="X65" s="109">
        <f t="shared" si="190"/>
        <v>0.4615811583</v>
      </c>
      <c r="Y65" s="109">
        <f t="shared" si="190"/>
        <v>0.2781024598</v>
      </c>
      <c r="Z65" s="109">
        <f t="shared" si="190"/>
        <v>0.2598796439</v>
      </c>
      <c r="AA65" s="109">
        <f t="shared" si="190"/>
        <v>0.2424216662</v>
      </c>
      <c r="AB65" s="109">
        <f t="shared" si="190"/>
        <v>0.2291919798</v>
      </c>
      <c r="AC65" s="109">
        <f t="shared" si="190"/>
        <v>0.2163054178</v>
      </c>
      <c r="AD65" s="109">
        <f t="shared" si="190"/>
        <v>0.2039086923</v>
      </c>
      <c r="AE65" s="109">
        <f t="shared" si="190"/>
        <v>0.1918902249</v>
      </c>
      <c r="AF65" s="109">
        <f t="shared" si="190"/>
        <v>0.1803465688</v>
      </c>
      <c r="AG65" s="109">
        <f t="shared" si="190"/>
        <v>0.1691744687</v>
      </c>
      <c r="AH65" s="109">
        <f t="shared" si="190"/>
        <v>0.1620587896</v>
      </c>
      <c r="AI65" s="109">
        <f t="shared" si="190"/>
        <v>0.1543717957</v>
      </c>
      <c r="AJ65" s="109">
        <f t="shared" si="190"/>
        <v>0.1458460054</v>
      </c>
      <c r="AK65" s="109">
        <f t="shared" si="190"/>
        <v>0.1947058086</v>
      </c>
      <c r="AL65" s="109">
        <f t="shared" si="190"/>
        <v>0.1541204198</v>
      </c>
      <c r="AM65" s="109">
        <f t="shared" si="190"/>
        <v>0.1473763446</v>
      </c>
      <c r="AN65" s="109">
        <f t="shared" si="190"/>
        <v>0.1409147033</v>
      </c>
      <c r="AO65" s="109">
        <f t="shared" si="190"/>
        <v>0.1347081815</v>
      </c>
      <c r="AP65" s="109">
        <f t="shared" si="190"/>
        <v>0.128746508</v>
      </c>
      <c r="AQ65" s="109">
        <f t="shared" si="190"/>
        <v>0.1256575231</v>
      </c>
      <c r="AR65" s="109">
        <f t="shared" si="190"/>
        <v>0.1200153402</v>
      </c>
      <c r="AS65" s="109">
        <f t="shared" si="190"/>
        <v>0.1121428441</v>
      </c>
      <c r="AT65" s="109">
        <f t="shared" si="190"/>
        <v>0.1070299032</v>
      </c>
      <c r="AU65" s="109">
        <f t="shared" si="190"/>
        <v>0.1021244628</v>
      </c>
      <c r="AV65" s="109">
        <f t="shared" si="190"/>
        <v>0.09844636957</v>
      </c>
      <c r="AW65" s="109">
        <f t="shared" si="190"/>
        <v>0.0938572366</v>
      </c>
      <c r="AX65" s="109">
        <f t="shared" si="190"/>
        <v>0.1191469258</v>
      </c>
      <c r="AY65" s="109">
        <f t="shared" si="190"/>
        <v>0.2084854491</v>
      </c>
    </row>
    <row r="66">
      <c r="A66" s="108" t="s">
        <v>72</v>
      </c>
      <c r="B66" s="109">
        <f t="shared" ref="B66:AY66" si="191">B61/B48</f>
        <v>-22.05451786</v>
      </c>
      <c r="C66" s="109">
        <f t="shared" si="191"/>
        <v>-17.1672547</v>
      </c>
      <c r="D66" s="109">
        <f t="shared" si="191"/>
        <v>-12.95491448</v>
      </c>
      <c r="E66" s="109">
        <f t="shared" si="191"/>
        <v>-11.62443512</v>
      </c>
      <c r="F66" s="109">
        <f t="shared" si="191"/>
        <v>-11.41217549</v>
      </c>
      <c r="G66" s="109">
        <f t="shared" si="191"/>
        <v>-10.41024393</v>
      </c>
      <c r="H66" s="109">
        <f t="shared" si="191"/>
        <v>-9.021961074</v>
      </c>
      <c r="I66" s="109">
        <f t="shared" si="191"/>
        <v>-8.030023095</v>
      </c>
      <c r="J66" s="109">
        <f t="shared" si="191"/>
        <v>-6.680386572</v>
      </c>
      <c r="K66" s="109">
        <f t="shared" si="191"/>
        <v>-10.90671559</v>
      </c>
      <c r="L66" s="109">
        <f t="shared" si="191"/>
        <v>-4.564376906</v>
      </c>
      <c r="M66" s="109">
        <f t="shared" si="191"/>
        <v>-3.64336692</v>
      </c>
      <c r="N66" s="109">
        <f t="shared" si="191"/>
        <v>-2.874636517</v>
      </c>
      <c r="O66" s="109">
        <f t="shared" si="191"/>
        <v>-2.376863813</v>
      </c>
      <c r="P66" s="109">
        <f t="shared" si="191"/>
        <v>-1.989890182</v>
      </c>
      <c r="Q66" s="109">
        <f t="shared" si="191"/>
        <v>-1.725423754</v>
      </c>
      <c r="R66" s="109">
        <f t="shared" si="191"/>
        <v>-1.518466743</v>
      </c>
      <c r="S66" s="109">
        <f t="shared" si="191"/>
        <v>-1.305756074</v>
      </c>
      <c r="T66" s="109">
        <f t="shared" si="191"/>
        <v>-1.161189667</v>
      </c>
      <c r="U66" s="109">
        <f t="shared" si="191"/>
        <v>-1.028013222</v>
      </c>
      <c r="V66" s="109">
        <f t="shared" si="191"/>
        <v>-0.9254007819</v>
      </c>
      <c r="W66" s="109">
        <f t="shared" si="191"/>
        <v>-0.8465448075</v>
      </c>
      <c r="X66" s="109">
        <f t="shared" si="191"/>
        <v>-1.617980322</v>
      </c>
      <c r="Y66" s="109">
        <f t="shared" si="191"/>
        <v>-0.5510596867</v>
      </c>
      <c r="Z66" s="109">
        <f t="shared" si="191"/>
        <v>-0.4756358708</v>
      </c>
      <c r="AA66" s="109">
        <f t="shared" si="191"/>
        <v>-0.4033777026</v>
      </c>
      <c r="AB66" s="109">
        <f t="shared" si="191"/>
        <v>-0.3486203344</v>
      </c>
      <c r="AC66" s="109">
        <f t="shared" si="191"/>
        <v>-0.2952831507</v>
      </c>
      <c r="AD66" s="109">
        <f t="shared" si="191"/>
        <v>-0.2439733891</v>
      </c>
      <c r="AE66" s="109">
        <f t="shared" si="191"/>
        <v>-0.1942292286</v>
      </c>
      <c r="AF66" s="109">
        <f t="shared" si="191"/>
        <v>-0.1464503017</v>
      </c>
      <c r="AG66" s="109">
        <f t="shared" si="191"/>
        <v>-0.1002092363</v>
      </c>
      <c r="AH66" s="109">
        <f t="shared" si="191"/>
        <v>-0.07075760382</v>
      </c>
      <c r="AI66" s="109">
        <f t="shared" si="191"/>
        <v>-0.03894131287</v>
      </c>
      <c r="AJ66" s="109">
        <f t="shared" si="191"/>
        <v>-0.00365326309</v>
      </c>
      <c r="AK66" s="109">
        <f t="shared" si="191"/>
        <v>-0.2058828651</v>
      </c>
      <c r="AL66" s="109">
        <f t="shared" si="191"/>
        <v>0.03569728295</v>
      </c>
      <c r="AM66" s="109">
        <f t="shared" si="191"/>
        <v>0.06039031171</v>
      </c>
      <c r="AN66" s="109">
        <f t="shared" si="191"/>
        <v>0.08404922572</v>
      </c>
      <c r="AO66" s="109">
        <f t="shared" si="191"/>
        <v>0.1067740349</v>
      </c>
      <c r="AP66" s="109">
        <f t="shared" si="191"/>
        <v>0.1286023464</v>
      </c>
      <c r="AQ66" s="109">
        <f t="shared" si="191"/>
        <v>0.1399124803</v>
      </c>
      <c r="AR66" s="109">
        <f t="shared" si="191"/>
        <v>0.1605709962</v>
      </c>
      <c r="AS66" s="109">
        <f t="shared" si="191"/>
        <v>0.1893956705</v>
      </c>
      <c r="AT66" s="109">
        <f t="shared" si="191"/>
        <v>0.2081163984</v>
      </c>
      <c r="AU66" s="109">
        <f t="shared" si="191"/>
        <v>0.2260773757</v>
      </c>
      <c r="AV66" s="109">
        <f t="shared" si="191"/>
        <v>0.2395444945</v>
      </c>
      <c r="AW66" s="109">
        <f t="shared" si="191"/>
        <v>0.256347331</v>
      </c>
      <c r="AX66" s="109">
        <f t="shared" si="191"/>
        <v>0.1637506438</v>
      </c>
      <c r="AY66" s="109">
        <f t="shared" si="191"/>
        <v>-0.2995365361</v>
      </c>
    </row>
    <row r="67">
      <c r="A67" s="106"/>
      <c r="B67" s="107"/>
    </row>
    <row r="68">
      <c r="A68" s="111" t="s">
        <v>73</v>
      </c>
      <c r="B68" s="112"/>
    </row>
    <row r="69">
      <c r="A69" s="113" t="s">
        <v>74</v>
      </c>
      <c r="B69" s="114">
        <v>3105.0</v>
      </c>
    </row>
    <row r="70">
      <c r="A70" s="113" t="s">
        <v>75</v>
      </c>
      <c r="B70" s="114">
        <v>5000.0</v>
      </c>
      <c r="H70" s="115" t="s">
        <v>76</v>
      </c>
      <c r="I70" s="116"/>
      <c r="J70" s="116"/>
      <c r="K70" s="116"/>
      <c r="L70" s="117"/>
      <c r="AK70" s="95"/>
      <c r="AL70" s="95"/>
    </row>
    <row r="71">
      <c r="A71" s="113" t="s">
        <v>77</v>
      </c>
      <c r="B71" s="118">
        <v>0.03</v>
      </c>
      <c r="H71" s="119" t="s">
        <v>78</v>
      </c>
      <c r="I71" s="120"/>
      <c r="J71" s="120"/>
      <c r="K71" s="120"/>
      <c r="L71" s="121"/>
      <c r="AK71" s="95"/>
      <c r="AL71" s="95"/>
    </row>
    <row r="72">
      <c r="H72" s="122" t="s">
        <v>79</v>
      </c>
      <c r="L72" s="123"/>
    </row>
    <row r="73">
      <c r="H73" s="122" t="s">
        <v>80</v>
      </c>
      <c r="L73" s="123"/>
    </row>
    <row r="74">
      <c r="A74" s="124" t="s">
        <v>81</v>
      </c>
      <c r="H74" s="122" t="s">
        <v>82</v>
      </c>
      <c r="L74" s="123"/>
    </row>
    <row r="75">
      <c r="A75" s="125" t="s">
        <v>83</v>
      </c>
      <c r="B75" s="125" t="s">
        <v>84</v>
      </c>
      <c r="C75" s="125" t="s">
        <v>85</v>
      </c>
      <c r="D75" s="125" t="s">
        <v>86</v>
      </c>
      <c r="E75" s="125" t="s">
        <v>87</v>
      </c>
      <c r="H75" s="122" t="s">
        <v>88</v>
      </c>
      <c r="L75" s="123"/>
    </row>
    <row r="76">
      <c r="A76" s="126" t="s">
        <v>89</v>
      </c>
      <c r="B76" s="127" t="s">
        <v>90</v>
      </c>
      <c r="C76" s="128">
        <v>0.1</v>
      </c>
      <c r="D76" s="127" t="s">
        <v>19</v>
      </c>
      <c r="E76" s="129">
        <v>46296.0</v>
      </c>
      <c r="H76" s="122" t="s">
        <v>91</v>
      </c>
      <c r="L76" s="123"/>
    </row>
    <row r="77">
      <c r="A77" s="130" t="s">
        <v>89</v>
      </c>
      <c r="B77" s="131" t="s">
        <v>90</v>
      </c>
      <c r="C77" s="132">
        <v>-0.15</v>
      </c>
      <c r="D77" s="131" t="s">
        <v>92</v>
      </c>
      <c r="E77" s="133">
        <v>46296.0</v>
      </c>
      <c r="H77" s="134" t="s">
        <v>93</v>
      </c>
      <c r="L77" s="123"/>
    </row>
    <row r="78">
      <c r="A78" s="126" t="s">
        <v>94</v>
      </c>
      <c r="B78" s="127" t="s">
        <v>90</v>
      </c>
      <c r="C78" s="135">
        <v>0.08</v>
      </c>
      <c r="D78" s="127" t="s">
        <v>19</v>
      </c>
      <c r="E78" s="129">
        <v>46296.0</v>
      </c>
      <c r="H78" s="122" t="s">
        <v>95</v>
      </c>
      <c r="L78" s="123"/>
    </row>
    <row r="79">
      <c r="A79" s="130" t="s">
        <v>96</v>
      </c>
      <c r="B79" s="131" t="s">
        <v>90</v>
      </c>
      <c r="C79" s="136">
        <v>0.05</v>
      </c>
      <c r="D79" s="137" t="s">
        <v>34</v>
      </c>
      <c r="E79" s="133">
        <v>46266.0</v>
      </c>
      <c r="H79" s="138" t="s">
        <v>97</v>
      </c>
      <c r="I79" s="139"/>
      <c r="J79" s="139"/>
      <c r="K79" s="139"/>
      <c r="L79" s="140"/>
    </row>
    <row r="80">
      <c r="A80" s="126" t="s">
        <v>98</v>
      </c>
      <c r="B80" s="127" t="s">
        <v>90</v>
      </c>
      <c r="C80" s="141">
        <v>1000.0</v>
      </c>
      <c r="D80" s="127" t="s">
        <v>99</v>
      </c>
      <c r="E80" s="129">
        <v>46174.0</v>
      </c>
    </row>
    <row r="85">
      <c r="J85" s="142"/>
      <c r="K85" s="142"/>
      <c r="L85" s="143"/>
      <c r="M85" s="143"/>
      <c r="O85" s="142"/>
      <c r="P85" s="142"/>
      <c r="Q85" s="143"/>
    </row>
    <row r="86">
      <c r="J86" s="142"/>
      <c r="K86" s="143"/>
      <c r="L86" s="143"/>
      <c r="M86" s="143"/>
      <c r="O86" s="142"/>
      <c r="P86" s="143"/>
      <c r="Q86" s="143"/>
    </row>
    <row r="87">
      <c r="J87" s="143"/>
      <c r="K87" s="144"/>
      <c r="L87" s="143"/>
      <c r="M87" s="143"/>
      <c r="O87" s="143"/>
      <c r="P87" s="144"/>
      <c r="Q87" s="143"/>
    </row>
    <row r="88">
      <c r="J88" s="143"/>
      <c r="K88" s="144"/>
      <c r="L88" s="143"/>
      <c r="M88" s="143"/>
      <c r="O88" s="143"/>
      <c r="P88" s="144"/>
      <c r="Q88" s="143"/>
    </row>
    <row r="89">
      <c r="J89" s="143"/>
      <c r="K89" s="143"/>
      <c r="L89" s="143">
        <f>SUM(L87:L88)</f>
        <v>0</v>
      </c>
      <c r="M89" s="143"/>
      <c r="O89" s="143"/>
      <c r="P89" s="143"/>
      <c r="Q89" s="143">
        <f>SUM(Q87:Q88)</f>
        <v>0</v>
      </c>
    </row>
  </sheetData>
  <mergeCells count="5">
    <mergeCell ref="B1:K1"/>
    <mergeCell ref="L1:X1"/>
    <mergeCell ref="Y1:AK1"/>
    <mergeCell ref="AL1:AX1"/>
    <mergeCell ref="AY1:AY2"/>
  </mergeCells>
  <conditionalFormatting sqref="B66:AY66">
    <cfRule type="cellIs" dxfId="0" priority="1" operator="lessThan">
      <formula>0</formula>
    </cfRule>
  </conditionalFormatting>
  <conditionalFormatting sqref="B63:AY63">
    <cfRule type="cellIs" dxfId="1" priority="2" operator="greaterThan">
      <formula>1</formula>
    </cfRule>
  </conditionalFormatting>
  <conditionalFormatting sqref="B65:AY65">
    <cfRule type="cellIs" dxfId="1" priority="3" operator="lessThan">
      <formula>1</formula>
    </cfRule>
  </conditionalFormatting>
  <drawing r:id="rId1"/>
</worksheet>
</file>