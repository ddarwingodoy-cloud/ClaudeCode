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IA" sheetId="1" r:id="rId5"/>
    <sheet state="visible" name="Gráficos" sheetId="2" r:id="rId6"/>
    <sheet state="visible" name="Planilha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tc={4bde7122-59c7-4c2a-8af3-aebab0c5b413}</author>
  </authors>
  <commentList>
    <comment authorId="0" ref="B96">
      <text>
        <t xml:space="preserve">Melhor Outubro, novembro</t>
      </text>
    </comment>
    <comment authorId="1" xr:uid="{4bde7122-59c7-4c2a-8af3-aebab0c5b41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Dados referentes a bet counts do relatorio abaixo&gt; Esses dados serao confirmados com a equipe de sportsbook na segunda : https://app.powerbi.com/groups/00ecb2bb-6c61-4d09-badb-a4df0c948b02/reports/36ec3fba-6003-42ae-b1a6-fd8aadf317c4/5ce0eacf89c05111447c?ctid=72047bc0-f083-4cc8-bf2a-6fb5731f5b13&amp;experience=power-bi&amp;clientSideAuth=0
</t>
      </text>
    </comment>
  </commentList>
</comments>
</file>

<file path=xl/sharedStrings.xml><?xml version="1.0" encoding="utf-8"?>
<sst xmlns="http://schemas.openxmlformats.org/spreadsheetml/2006/main" count="1814" uniqueCount="95">
  <si>
    <t>TOTAL REALIZADO</t>
  </si>
  <si>
    <t xml:space="preserve"> </t>
  </si>
  <si>
    <t>TOTAL</t>
  </si>
  <si>
    <t>PLAN</t>
  </si>
  <si>
    <t>REAL</t>
  </si>
  <si>
    <t>DIF</t>
  </si>
  <si>
    <t>INV</t>
  </si>
  <si>
    <t>-</t>
  </si>
  <si>
    <t>FTD</t>
  </si>
  <si>
    <t>CPA</t>
  </si>
  <si>
    <t>MEDIA</t>
  </si>
  <si>
    <t>Performance</t>
  </si>
  <si>
    <t>Google</t>
  </si>
  <si>
    <t>Awareness</t>
  </si>
  <si>
    <t>Better Collective</t>
  </si>
  <si>
    <t>CazeTV</t>
  </si>
  <si>
    <t>Paid Social</t>
  </si>
  <si>
    <t>Youtube</t>
  </si>
  <si>
    <t>Meta</t>
  </si>
  <si>
    <t>Instagram</t>
  </si>
  <si>
    <t>Twitter</t>
  </si>
  <si>
    <t>Tiktok</t>
  </si>
  <si>
    <t>Kwai</t>
  </si>
  <si>
    <t>Display / Programática</t>
  </si>
  <si>
    <t>UOL</t>
  </si>
  <si>
    <t>365 Scores</t>
  </si>
  <si>
    <t>Sofascore</t>
  </si>
  <si>
    <t>Flashscore</t>
  </si>
  <si>
    <t>Siprocal</t>
  </si>
  <si>
    <t>Taboola</t>
  </si>
  <si>
    <t>Verve</t>
  </si>
  <si>
    <t>PATROCÍNIOS</t>
  </si>
  <si>
    <t>Peleja</t>
  </si>
  <si>
    <t>GR6</t>
  </si>
  <si>
    <t>Musicalize</t>
  </si>
  <si>
    <t>NFA</t>
  </si>
  <si>
    <t>Tribu</t>
  </si>
  <si>
    <t>Domitila</t>
  </si>
  <si>
    <t>Peu</t>
  </si>
  <si>
    <t>Produção</t>
  </si>
  <si>
    <t>AFILIADOS</t>
  </si>
  <si>
    <t>Player7777</t>
  </si>
  <si>
    <t>AfiliagamblingBR</t>
  </si>
  <si>
    <t>raphaelrossi</t>
  </si>
  <si>
    <t>costamedia</t>
  </si>
  <si>
    <t>NorhstarBR</t>
  </si>
  <si>
    <t>eightroom_Brasil25</t>
  </si>
  <si>
    <t>apuestasfree</t>
  </si>
  <si>
    <t>Outros</t>
  </si>
  <si>
    <t>INFLUENCIADOR</t>
  </si>
  <si>
    <t>Creators Agency</t>
  </si>
  <si>
    <t xml:space="preserve">Streamers Cassino </t>
  </si>
  <si>
    <t>Streamers Counter Strike</t>
  </si>
  <si>
    <t>Squad Brasil</t>
  </si>
  <si>
    <t xml:space="preserve">Danilo Lavieri </t>
  </si>
  <si>
    <t>FBI Tricolor</t>
  </si>
  <si>
    <t>SEO</t>
  </si>
  <si>
    <t>Backlink</t>
  </si>
  <si>
    <t>AGÊNCIAS</t>
  </si>
  <si>
    <t>Euforia</t>
  </si>
  <si>
    <t>DiPaola</t>
  </si>
  <si>
    <t>Pipol</t>
  </si>
  <si>
    <t>PR</t>
  </si>
  <si>
    <t>PRODUÇÃO</t>
  </si>
  <si>
    <t>Produção de Campanha</t>
  </si>
  <si>
    <t>OUTROS</t>
  </si>
  <si>
    <t xml:space="preserve">X - Blue stamp </t>
  </si>
  <si>
    <t>Branded Content Extra</t>
  </si>
  <si>
    <t>Focus Group Research</t>
  </si>
  <si>
    <t>FTD ORGÂNICO</t>
  </si>
  <si>
    <t>CONTINGÊNCIA</t>
  </si>
  <si>
    <t>EXCHANGE RATE</t>
  </si>
  <si>
    <t>#</t>
  </si>
  <si>
    <t>Iniciativa</t>
  </si>
  <si>
    <t>Total</t>
  </si>
  <si>
    <t>Ja Investido</t>
  </si>
  <si>
    <t>A Pagar</t>
  </si>
  <si>
    <t>Situacao</t>
  </si>
  <si>
    <t>GR6 / Musicalize</t>
  </si>
  <si>
    <t>Comprometido</t>
  </si>
  <si>
    <t>Tribu Podcast</t>
  </si>
  <si>
    <t>Passivel de alteracoes</t>
  </si>
  <si>
    <t>Caze TV</t>
  </si>
  <si>
    <t>Pausado — passivel de alteracoes</t>
  </si>
  <si>
    <t>NBB</t>
  </si>
  <si>
    <t>—</t>
  </si>
  <si>
    <t>Cancelado</t>
  </si>
  <si>
    <t>Creators</t>
  </si>
  <si>
    <t>Cancelado — saldo redirecionado ao Squad</t>
  </si>
  <si>
    <t>Squad Influenciadores</t>
  </si>
  <si>
    <t>Novo — passivel de alteracoes</t>
  </si>
  <si>
    <t>Better Collective (Copa)</t>
  </si>
  <si>
    <t>Midia Programatica</t>
  </si>
  <si>
    <t>Agencias</t>
  </si>
  <si>
    <t>15 Afiliados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</si>
</sst>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ptos Narrow"/>
      <scheme val="minor"/>
    </font>
    <font>
      <sz val="10.0"/>
      <color theme="1"/>
      <name val="Arial"/>
    </font>
    <font>
      <sz val="10.0"/>
      <color theme="1"/>
      <name val="Aptos Narrow"/>
    </font>
    <font>
      <b/>
      <sz val="10.0"/>
      <color theme="1"/>
      <name val="Aptos Narrow"/>
    </font>
    <font/>
    <font>
      <b/>
      <sz val="10.0"/>
      <color theme="1"/>
      <name val="Arial"/>
    </font>
    <font>
      <sz val="10.0"/>
      <color theme="1"/>
      <name val="Aptos Narrow (Corpo)"/>
    </font>
    <font>
      <b/>
      <sz val="10.0"/>
      <color theme="1"/>
      <name val="Aptos Narrow (Corpo)"/>
    </font>
    <font>
      <sz val="10.0"/>
      <color rgb="FF000000"/>
      <name val="Aptos Narrow (Corpo)"/>
    </font>
    <font>
      <b/>
      <sz val="10.0"/>
      <color rgb="FF000000"/>
      <name val="Aptos Narrow (Corpo)"/>
    </font>
    <font>
      <b/>
      <sz val="14.0"/>
      <color theme="1"/>
      <name val="Arial"/>
    </font>
    <font>
      <sz val="14.0"/>
      <color theme="1"/>
      <name val="Arial"/>
    </font>
    <font>
      <strike/>
      <sz val="14.0"/>
      <color theme="1"/>
      <name val="Arial"/>
    </font>
    <font>
      <sz val="12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A5A5A5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A5A5A5"/>
      </bottom>
    </border>
    <border>
      <left style="thin">
        <color rgb="FF000000"/>
      </left>
      <right style="thin">
        <color rgb="FFA5A5A5"/>
      </right>
      <top/>
      <bottom style="thin">
        <color rgb="FFA5A5A5"/>
      </bottom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 style="thin">
        <color rgb="FFA5A5A5"/>
      </left>
      <right style="thin">
        <color rgb="FF000000"/>
      </right>
      <top/>
      <bottom style="thin">
        <color rgb="FFA5A5A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A5A5A5"/>
      </right>
      <top/>
      <bottom style="thin">
        <color rgb="FF000000"/>
      </bottom>
    </border>
    <border>
      <left style="thin">
        <color rgb="FFA5A5A5"/>
      </left>
      <right style="thin">
        <color rgb="FFA5A5A5"/>
      </right>
      <top/>
      <bottom style="thin">
        <color rgb="FF000000"/>
      </bottom>
    </border>
    <border>
      <left style="thin">
        <color rgb="FFA5A5A5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A5A5A5"/>
      </right>
      <top/>
      <bottom/>
    </border>
    <border>
      <left style="thin">
        <color rgb="FFA5A5A5"/>
      </left>
      <right style="thin">
        <color rgb="FFA5A5A5"/>
      </right>
      <top/>
      <bottom/>
    </border>
    <border>
      <left style="thin">
        <color rgb="FFA5A5A5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000000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A5A5A5"/>
      </bottom>
    </border>
    <border>
      <left style="thin">
        <color rgb="FF000000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000000"/>
      </right>
      <bottom style="thin">
        <color rgb="FFA5A5A5"/>
      </bottom>
    </border>
    <border>
      <left style="thin">
        <color rgb="FF000000"/>
      </left>
      <right style="thin">
        <color rgb="FFA5A5A5"/>
      </right>
    </border>
    <border>
      <left style="thin">
        <color rgb="FFA5A5A5"/>
      </left>
      <right style="thin">
        <color rgb="FFA5A5A5"/>
      </right>
    </border>
    <border>
      <right style="thin">
        <color rgb="FF000000"/>
      </right>
      <top style="thin">
        <color rgb="FF000000"/>
      </top>
      <bottom style="thin">
        <color rgb="FFA5A5A5"/>
      </bottom>
    </border>
    <border>
      <right style="thin">
        <color rgb="FF000000"/>
      </right>
      <top/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000000"/>
      </right>
    </border>
    <border>
      <left style="thin">
        <color rgb="FF000000"/>
      </left>
      <right style="thin">
        <color rgb="FFA5A5A5"/>
      </right>
      <top style="thin">
        <color rgb="FF000000"/>
      </top>
    </border>
    <border>
      <left style="thin">
        <color rgb="FFA5A5A5"/>
      </left>
      <right style="thin">
        <color rgb="FFA5A5A5"/>
      </right>
      <top style="thin">
        <color rgb="FF000000"/>
      </top>
    </border>
    <border>
      <left style="thin">
        <color rgb="FFA5A5A5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A5A5A5"/>
      </right>
      <top style="thin">
        <color rgb="FF000000"/>
      </top>
    </border>
    <border>
      <right style="thin">
        <color rgb="FFA5A5A5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 vertical="center"/>
    </xf>
    <xf borderId="1" fillId="0" fontId="2" numFmtId="0" xfId="0" applyBorder="1" applyFont="1"/>
    <xf borderId="2" fillId="0" fontId="2" numFmtId="0" xfId="0" applyAlignment="1" applyBorder="1" applyFont="1">
      <alignment horizontal="center" vertical="center"/>
    </xf>
    <xf borderId="3" fillId="0" fontId="3" numFmtId="17" xfId="0" applyAlignment="1" applyBorder="1" applyFont="1" applyNumberForma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9" fillId="2" fontId="3" numFmtId="0" xfId="0" applyAlignment="1" applyBorder="1" applyFill="1" applyFont="1">
      <alignment horizontal="left" vertical="center"/>
    </xf>
    <xf borderId="10" fillId="2" fontId="3" numFmtId="0" xfId="0" applyAlignment="1" applyBorder="1" applyFont="1">
      <alignment horizontal="center" vertical="center"/>
    </xf>
    <xf borderId="11" fillId="2" fontId="3" numFmtId="3" xfId="0" applyAlignment="1" applyBorder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12" fillId="2" fontId="3" numFmtId="3" xfId="0" applyAlignment="1" applyBorder="1" applyFont="1" applyNumberFormat="1">
      <alignment horizontal="center" vertical="center"/>
    </xf>
    <xf borderId="13" fillId="2" fontId="3" numFmtId="3" xfId="0" applyAlignment="1" applyBorder="1" applyFont="1" applyNumberFormat="1">
      <alignment horizontal="center" vertical="center"/>
    </xf>
    <xf borderId="13" fillId="2" fontId="3" numFmtId="9" xfId="0" applyAlignment="1" applyBorder="1" applyFont="1" applyNumberFormat="1">
      <alignment horizontal="center" vertical="center"/>
    </xf>
    <xf borderId="14" fillId="0" fontId="4" numFmtId="0" xfId="0" applyBorder="1" applyFont="1"/>
    <xf borderId="15" fillId="2" fontId="3" numFmtId="0" xfId="0" applyAlignment="1" applyBorder="1" applyFont="1">
      <alignment horizontal="center" vertical="center"/>
    </xf>
    <xf borderId="16" fillId="2" fontId="3" numFmtId="3" xfId="0" applyAlignment="1" applyBorder="1" applyFont="1" applyNumberFormat="1">
      <alignment horizontal="center" vertical="center"/>
    </xf>
    <xf borderId="17" fillId="2" fontId="3" numFmtId="3" xfId="0" applyAlignment="1" applyBorder="1" applyFont="1" applyNumberFormat="1">
      <alignment horizontal="center" vertical="center"/>
    </xf>
    <xf borderId="18" fillId="2" fontId="3" numFmtId="3" xfId="0" applyAlignment="1" applyBorder="1" applyFont="1" applyNumberFormat="1">
      <alignment horizontal="center" vertical="center"/>
    </xf>
    <xf borderId="18" fillId="2" fontId="3" numFmtId="9" xfId="0" applyAlignment="1" applyBorder="1" applyFont="1" applyNumberFormat="1">
      <alignment horizontal="center" vertical="center"/>
    </xf>
    <xf borderId="19" fillId="0" fontId="4" numFmtId="0" xfId="0" applyBorder="1" applyFont="1"/>
    <xf borderId="20" fillId="2" fontId="3" numFmtId="0" xfId="0" applyAlignment="1" applyBorder="1" applyFont="1">
      <alignment horizontal="center" vertical="center"/>
    </xf>
    <xf borderId="21" fillId="2" fontId="3" numFmtId="4" xfId="0" applyAlignment="1" applyBorder="1" applyFont="1" applyNumberFormat="1">
      <alignment horizontal="center" vertical="center"/>
    </xf>
    <xf borderId="22" fillId="2" fontId="3" numFmtId="4" xfId="0" applyAlignment="1" applyBorder="1" applyFont="1" applyNumberFormat="1">
      <alignment horizontal="center" vertical="center"/>
    </xf>
    <xf borderId="23" fillId="2" fontId="3" numFmtId="4" xfId="0" applyAlignment="1" applyBorder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23" fillId="2" fontId="3" numFmtId="9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/>
    </xf>
    <xf borderId="0" fillId="0" fontId="2" numFmtId="9" xfId="0" applyAlignment="1" applyFont="1" applyNumberFormat="1">
      <alignment horizontal="center"/>
    </xf>
    <xf borderId="0" fillId="0" fontId="1" numFmtId="0" xfId="0" applyAlignment="1" applyFont="1">
      <alignment horizontal="center" readingOrder="0" vertical="center"/>
    </xf>
    <xf borderId="9" fillId="3" fontId="3" numFmtId="0" xfId="0" applyAlignment="1" applyBorder="1" applyFill="1" applyFont="1">
      <alignment horizontal="left" vertical="center"/>
    </xf>
    <xf borderId="10" fillId="3" fontId="3" numFmtId="0" xfId="0" applyAlignment="1" applyBorder="1" applyFont="1">
      <alignment horizontal="center" vertical="center"/>
    </xf>
    <xf borderId="12" fillId="3" fontId="3" numFmtId="3" xfId="0" applyAlignment="1" applyBorder="1" applyFont="1" applyNumberFormat="1">
      <alignment horizontal="center" vertical="center"/>
    </xf>
    <xf borderId="11" fillId="3" fontId="3" numFmtId="3" xfId="0" applyAlignment="1" applyBorder="1" applyFont="1" applyNumberFormat="1">
      <alignment horizontal="center" vertical="center"/>
    </xf>
    <xf borderId="13" fillId="3" fontId="3" numFmtId="3" xfId="0" applyAlignment="1" applyBorder="1" applyFont="1" applyNumberFormat="1">
      <alignment horizontal="center" vertical="center"/>
    </xf>
    <xf borderId="13" fillId="3" fontId="3" numFmtId="9" xfId="0" applyAlignment="1" applyBorder="1" applyFont="1" applyNumberFormat="1">
      <alignment horizontal="center" vertical="center"/>
    </xf>
    <xf borderId="15" fillId="3" fontId="3" numFmtId="0" xfId="0" applyAlignment="1" applyBorder="1" applyFont="1">
      <alignment horizontal="center" vertical="center"/>
    </xf>
    <xf borderId="16" fillId="3" fontId="3" numFmtId="3" xfId="0" applyAlignment="1" applyBorder="1" applyFont="1" applyNumberFormat="1">
      <alignment horizontal="center" vertical="center"/>
    </xf>
    <xf borderId="17" fillId="3" fontId="3" numFmtId="3" xfId="0" applyAlignment="1" applyBorder="1" applyFont="1" applyNumberFormat="1">
      <alignment horizontal="center" vertical="center"/>
    </xf>
    <xf borderId="18" fillId="3" fontId="3" numFmtId="3" xfId="0" applyAlignment="1" applyBorder="1" applyFont="1" applyNumberFormat="1">
      <alignment horizontal="center" vertical="center"/>
    </xf>
    <xf borderId="18" fillId="3" fontId="3" numFmtId="9" xfId="0" applyAlignment="1" applyBorder="1" applyFont="1" applyNumberFormat="1">
      <alignment horizontal="center" vertical="center"/>
    </xf>
    <xf borderId="24" fillId="0" fontId="4" numFmtId="0" xfId="0" applyBorder="1" applyFont="1"/>
    <xf borderId="25" fillId="3" fontId="3" numFmtId="0" xfId="0" applyAlignment="1" applyBorder="1" applyFont="1">
      <alignment horizontal="center" vertical="center"/>
    </xf>
    <xf borderId="26" fillId="3" fontId="3" numFmtId="4" xfId="0" applyAlignment="1" applyBorder="1" applyFont="1" applyNumberFormat="1">
      <alignment horizontal="center" vertical="center"/>
    </xf>
    <xf borderId="27" fillId="3" fontId="3" numFmtId="4" xfId="0" applyAlignment="1" applyBorder="1" applyFont="1" applyNumberFormat="1">
      <alignment horizontal="center" vertical="center"/>
    </xf>
    <xf borderId="28" fillId="3" fontId="3" numFmtId="4" xfId="0" applyAlignment="1" applyBorder="1" applyFont="1" applyNumberFormat="1">
      <alignment horizontal="center" vertical="center"/>
    </xf>
    <xf borderId="28" fillId="3" fontId="3" numFmtId="9" xfId="0" applyAlignment="1" applyBorder="1" applyFont="1" applyNumberFormat="1">
      <alignment horizontal="center" vertical="center"/>
    </xf>
    <xf borderId="9" fillId="4" fontId="3" numFmtId="0" xfId="0" applyAlignment="1" applyBorder="1" applyFill="1" applyFont="1">
      <alignment horizontal="left" vertical="center"/>
    </xf>
    <xf borderId="10" fillId="4" fontId="3" numFmtId="0" xfId="0" applyAlignment="1" applyBorder="1" applyFont="1">
      <alignment horizontal="center" vertical="center"/>
    </xf>
    <xf borderId="12" fillId="4" fontId="3" numFmtId="3" xfId="0" applyAlignment="1" applyBorder="1" applyFont="1" applyNumberFormat="1">
      <alignment horizontal="center" vertical="center"/>
    </xf>
    <xf borderId="11" fillId="4" fontId="3" numFmtId="3" xfId="0" applyAlignment="1" applyBorder="1" applyFont="1" applyNumberFormat="1">
      <alignment horizontal="center" vertical="center"/>
    </xf>
    <xf borderId="13" fillId="4" fontId="3" numFmtId="3" xfId="0" applyAlignment="1" applyBorder="1" applyFont="1" applyNumberFormat="1">
      <alignment horizontal="center" vertical="center"/>
    </xf>
    <xf borderId="13" fillId="4" fontId="3" numFmtId="9" xfId="0" applyAlignment="1" applyBorder="1" applyFont="1" applyNumberFormat="1">
      <alignment horizontal="center" vertical="center"/>
    </xf>
    <xf borderId="29" fillId="4" fontId="3" numFmtId="0" xfId="0" applyAlignment="1" applyBorder="1" applyFont="1">
      <alignment horizontal="center" vertical="center"/>
    </xf>
    <xf borderId="30" fillId="4" fontId="3" numFmtId="3" xfId="0" applyAlignment="1" applyBorder="1" applyFont="1" applyNumberFormat="1">
      <alignment horizontal="center" vertical="center"/>
    </xf>
    <xf borderId="31" fillId="4" fontId="3" numFmtId="3" xfId="0" applyAlignment="1" applyBorder="1" applyFont="1" applyNumberFormat="1">
      <alignment horizontal="center" vertical="center"/>
    </xf>
    <xf borderId="32" fillId="4" fontId="3" numFmtId="3" xfId="0" applyAlignment="1" applyBorder="1" applyFont="1" applyNumberFormat="1">
      <alignment horizontal="center" vertical="center"/>
    </xf>
    <xf borderId="32" fillId="4" fontId="3" numFmtId="9" xfId="0" applyAlignment="1" applyBorder="1" applyFont="1" applyNumberFormat="1">
      <alignment horizontal="center" vertical="center"/>
    </xf>
    <xf borderId="33" fillId="4" fontId="3" numFmtId="0" xfId="0" applyAlignment="1" applyBorder="1" applyFont="1">
      <alignment horizontal="center" vertical="center"/>
    </xf>
    <xf borderId="34" fillId="4" fontId="3" numFmtId="4" xfId="0" applyAlignment="1" applyBorder="1" applyFont="1" applyNumberFormat="1">
      <alignment horizontal="center" vertical="center"/>
    </xf>
    <xf borderId="35" fillId="4" fontId="3" numFmtId="4" xfId="0" applyAlignment="1" applyBorder="1" applyFont="1" applyNumberFormat="1">
      <alignment horizontal="center" vertical="center"/>
    </xf>
    <xf borderId="36" fillId="4" fontId="3" numFmtId="4" xfId="0" applyAlignment="1" applyBorder="1" applyFont="1" applyNumberFormat="1">
      <alignment horizontal="center" vertical="center"/>
    </xf>
    <xf borderId="36" fillId="4" fontId="3" numFmtId="9" xfId="0" applyAlignment="1" applyBorder="1" applyFont="1" applyNumberFormat="1">
      <alignment horizontal="center" vertical="center"/>
    </xf>
    <xf borderId="0" fillId="0" fontId="2" numFmtId="3" xfId="0" applyAlignment="1" applyFont="1" applyNumberFormat="1">
      <alignment horizontal="center"/>
    </xf>
    <xf borderId="14" fillId="0" fontId="2" numFmtId="0" xfId="0" applyAlignment="1" applyBorder="1" applyFont="1">
      <alignment horizontal="left" vertical="center"/>
    </xf>
    <xf borderId="37" fillId="0" fontId="2" numFmtId="0" xfId="0" applyAlignment="1" applyBorder="1" applyFont="1">
      <alignment horizontal="center" vertical="center"/>
    </xf>
    <xf borderId="38" fillId="0" fontId="2" numFmtId="3" xfId="0" applyAlignment="1" applyBorder="1" applyFont="1" applyNumberFormat="1">
      <alignment horizontal="center" vertical="center"/>
    </xf>
    <xf borderId="39" fillId="0" fontId="2" numFmtId="3" xfId="0" applyAlignment="1" applyBorder="1" applyFont="1" applyNumberFormat="1">
      <alignment horizontal="center" vertical="center"/>
    </xf>
    <xf borderId="40" fillId="0" fontId="2" numFmtId="3" xfId="0" applyAlignment="1" applyBorder="1" applyFont="1" applyNumberFormat="1">
      <alignment horizontal="center" vertical="center"/>
    </xf>
    <xf borderId="39" fillId="0" fontId="1" numFmtId="3" xfId="0" applyAlignment="1" applyBorder="1" applyFont="1" applyNumberFormat="1">
      <alignment horizontal="center" readingOrder="0" vertical="center"/>
    </xf>
    <xf borderId="40" fillId="0" fontId="2" numFmtId="9" xfId="0" applyAlignment="1" applyBorder="1" applyFont="1" applyNumberFormat="1">
      <alignment horizontal="center" vertical="center"/>
    </xf>
    <xf borderId="29" fillId="0" fontId="2" numFmtId="0" xfId="0" applyAlignment="1" applyBorder="1" applyFont="1">
      <alignment horizontal="center" vertical="center"/>
    </xf>
    <xf borderId="30" fillId="0" fontId="2" numFmtId="3" xfId="0" applyAlignment="1" applyBorder="1" applyFont="1" applyNumberFormat="1">
      <alignment horizontal="center" vertical="center"/>
    </xf>
    <xf borderId="31" fillId="0" fontId="2" numFmtId="3" xfId="0" applyAlignment="1" applyBorder="1" applyFont="1" applyNumberFormat="1">
      <alignment horizontal="center" vertical="center"/>
    </xf>
    <xf borderId="32" fillId="0" fontId="2" numFmtId="3" xfId="0" applyAlignment="1" applyBorder="1" applyFont="1" applyNumberFormat="1">
      <alignment horizontal="center" vertical="center"/>
    </xf>
    <xf borderId="31" fillId="0" fontId="1" numFmtId="3" xfId="0" applyAlignment="1" applyBorder="1" applyFont="1" applyNumberFormat="1">
      <alignment horizontal="center" readingOrder="0" vertical="center"/>
    </xf>
    <xf borderId="32" fillId="0" fontId="2" numFmtId="9" xfId="0" applyAlignment="1" applyBorder="1" applyFont="1" applyNumberFormat="1">
      <alignment horizontal="center" vertical="center"/>
    </xf>
    <xf borderId="31" fillId="0" fontId="1" numFmtId="3" xfId="0" applyAlignment="1" applyBorder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/>
    </xf>
    <xf borderId="33" fillId="0" fontId="2" numFmtId="0" xfId="0" applyAlignment="1" applyBorder="1" applyFont="1">
      <alignment horizontal="center" vertical="center"/>
    </xf>
    <xf borderId="34" fillId="0" fontId="2" numFmtId="4" xfId="0" applyAlignment="1" applyBorder="1" applyFont="1" applyNumberFormat="1">
      <alignment horizontal="center" vertical="center"/>
    </xf>
    <xf borderId="35" fillId="0" fontId="2" numFmtId="4" xfId="0" applyAlignment="1" applyBorder="1" applyFont="1" applyNumberFormat="1">
      <alignment horizontal="center" vertical="center"/>
    </xf>
    <xf borderId="36" fillId="0" fontId="2" numFmtId="4" xfId="0" applyAlignment="1" applyBorder="1" applyFont="1" applyNumberFormat="1">
      <alignment horizontal="center" vertical="center"/>
    </xf>
    <xf borderId="36" fillId="0" fontId="2" numFmtId="9" xfId="0" applyAlignment="1" applyBorder="1" applyFont="1" applyNumberFormat="1">
      <alignment horizontal="center" vertical="center"/>
    </xf>
    <xf borderId="14" fillId="5" fontId="1" numFmtId="0" xfId="0" applyAlignment="1" applyBorder="1" applyFill="1" applyFont="1">
      <alignment horizontal="left" readingOrder="0" vertical="center"/>
    </xf>
    <xf borderId="14" fillId="5" fontId="2" numFmtId="0" xfId="0" applyAlignment="1" applyBorder="1" applyFont="1">
      <alignment horizontal="left" vertical="center"/>
    </xf>
    <xf borderId="30" fillId="0" fontId="1" numFmtId="3" xfId="0" applyAlignment="1" applyBorder="1" applyFont="1" applyNumberFormat="1">
      <alignment horizontal="center" readingOrder="0" vertical="center"/>
    </xf>
    <xf borderId="38" fillId="0" fontId="1" numFmtId="3" xfId="0" applyAlignment="1" applyBorder="1" applyFont="1" applyNumberFormat="1">
      <alignment horizontal="center" readingOrder="0" vertical="center"/>
    </xf>
    <xf borderId="14" fillId="0" fontId="1" numFmtId="0" xfId="0" applyAlignment="1" applyBorder="1" applyFont="1">
      <alignment horizontal="left" vertical="center"/>
    </xf>
    <xf borderId="38" fillId="0" fontId="2" numFmtId="3" xfId="0" applyAlignment="1" applyBorder="1" applyFont="1" applyNumberFormat="1">
      <alignment horizontal="center" readingOrder="0" vertical="center"/>
    </xf>
    <xf borderId="30" fillId="6" fontId="1" numFmtId="3" xfId="0" applyAlignment="1" applyBorder="1" applyFill="1" applyFont="1" applyNumberFormat="1">
      <alignment horizontal="center" readingOrder="0" vertical="center"/>
    </xf>
    <xf borderId="39" fillId="6" fontId="2" numFmtId="3" xfId="0" applyAlignment="1" applyBorder="1" applyFont="1" applyNumberFormat="1">
      <alignment horizontal="center" vertical="center"/>
    </xf>
    <xf borderId="38" fillId="6" fontId="2" numFmtId="3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left" readingOrder="0" vertical="center"/>
    </xf>
    <xf borderId="16" fillId="3" fontId="5" numFmtId="3" xfId="0" applyAlignment="1" applyBorder="1" applyFont="1" applyNumberFormat="1">
      <alignment horizontal="center" readingOrder="0" vertical="center"/>
    </xf>
    <xf borderId="20" fillId="3" fontId="3" numFmtId="0" xfId="0" applyAlignment="1" applyBorder="1" applyFont="1">
      <alignment horizontal="center" vertical="center"/>
    </xf>
    <xf borderId="21" fillId="3" fontId="3" numFmtId="4" xfId="0" applyAlignment="1" applyBorder="1" applyFont="1" applyNumberFormat="1">
      <alignment horizontal="center" vertical="center"/>
    </xf>
    <xf borderId="22" fillId="3" fontId="3" numFmtId="4" xfId="0" applyAlignment="1" applyBorder="1" applyFont="1" applyNumberFormat="1">
      <alignment horizontal="center" vertical="center"/>
    </xf>
    <xf borderId="23" fillId="3" fontId="3" numFmtId="4" xfId="0" applyAlignment="1" applyBorder="1" applyFont="1" applyNumberFormat="1">
      <alignment horizontal="center" vertical="center"/>
    </xf>
    <xf borderId="23" fillId="3" fontId="3" numFmtId="9" xfId="0" applyAlignment="1" applyBorder="1" applyFont="1" applyNumberFormat="1">
      <alignment horizontal="center" vertical="center"/>
    </xf>
    <xf borderId="9" fillId="7" fontId="3" numFmtId="0" xfId="0" applyAlignment="1" applyBorder="1" applyFill="1" applyFont="1">
      <alignment horizontal="left" vertical="center"/>
    </xf>
    <xf borderId="10" fillId="0" fontId="3" numFmtId="0" xfId="0" applyAlignment="1" applyBorder="1" applyFont="1">
      <alignment horizontal="center" vertical="center"/>
    </xf>
    <xf borderId="12" fillId="0" fontId="3" numFmtId="3" xfId="0" applyAlignment="1" applyBorder="1" applyFont="1" applyNumberFormat="1">
      <alignment horizontal="center" vertical="center"/>
    </xf>
    <xf borderId="11" fillId="0" fontId="3" numFmtId="3" xfId="0" applyAlignment="1" applyBorder="1" applyFont="1" applyNumberFormat="1">
      <alignment horizontal="center" vertical="center"/>
    </xf>
    <xf borderId="13" fillId="0" fontId="3" numFmtId="3" xfId="0" applyAlignment="1" applyBorder="1" applyFont="1" applyNumberFormat="1">
      <alignment horizontal="center" vertical="center"/>
    </xf>
    <xf borderId="13" fillId="0" fontId="3" numFmtId="9" xfId="0" applyAlignment="1" applyBorder="1" applyFont="1" applyNumberFormat="1">
      <alignment horizontal="center" vertical="center"/>
    </xf>
    <xf borderId="29" fillId="0" fontId="3" numFmtId="0" xfId="0" applyAlignment="1" applyBorder="1" applyFont="1">
      <alignment horizontal="center" vertical="center"/>
    </xf>
    <xf borderId="30" fillId="0" fontId="3" numFmtId="3" xfId="0" applyAlignment="1" applyBorder="1" applyFont="1" applyNumberFormat="1">
      <alignment horizontal="center" vertical="center"/>
    </xf>
    <xf borderId="31" fillId="0" fontId="3" numFmtId="3" xfId="0" applyAlignment="1" applyBorder="1" applyFont="1" applyNumberFormat="1">
      <alignment horizontal="center" vertical="center"/>
    </xf>
    <xf borderId="32" fillId="0" fontId="3" numFmtId="3" xfId="0" applyAlignment="1" applyBorder="1" applyFont="1" applyNumberFormat="1">
      <alignment horizontal="center" vertical="center"/>
    </xf>
    <xf borderId="31" fillId="0" fontId="5" numFmtId="3" xfId="0" applyAlignment="1" applyBorder="1" applyFont="1" applyNumberFormat="1">
      <alignment horizontal="center" readingOrder="0" vertical="center"/>
    </xf>
    <xf borderId="30" fillId="0" fontId="5" numFmtId="3" xfId="0" applyAlignment="1" applyBorder="1" applyFont="1" applyNumberFormat="1">
      <alignment horizontal="center" readingOrder="0" vertical="center"/>
    </xf>
    <xf borderId="31" fillId="6" fontId="5" numFmtId="3" xfId="0" applyAlignment="1" applyBorder="1" applyFont="1" applyNumberFormat="1">
      <alignment horizontal="center" readingOrder="0" vertical="center"/>
    </xf>
    <xf borderId="32" fillId="0" fontId="3" numFmtId="9" xfId="0" applyAlignment="1" applyBorder="1" applyFont="1" applyNumberFormat="1">
      <alignment horizontal="center" vertical="center"/>
    </xf>
    <xf borderId="33" fillId="0" fontId="3" numFmtId="0" xfId="0" applyAlignment="1" applyBorder="1" applyFont="1">
      <alignment horizontal="center" vertical="center"/>
    </xf>
    <xf borderId="34" fillId="0" fontId="3" numFmtId="4" xfId="0" applyAlignment="1" applyBorder="1" applyFont="1" applyNumberFormat="1">
      <alignment horizontal="center" vertical="center"/>
    </xf>
    <xf borderId="35" fillId="0" fontId="3" numFmtId="4" xfId="0" applyAlignment="1" applyBorder="1" applyFont="1" applyNumberFormat="1">
      <alignment horizontal="center" vertical="center"/>
    </xf>
    <xf borderId="36" fillId="0" fontId="3" numFmtId="4" xfId="0" applyAlignment="1" applyBorder="1" applyFont="1" applyNumberFormat="1">
      <alignment horizontal="center" vertical="center"/>
    </xf>
    <xf borderId="36" fillId="0" fontId="3" numFmtId="9" xfId="0" applyAlignment="1" applyBorder="1" applyFont="1" applyNumberFormat="1">
      <alignment horizontal="center" vertical="center"/>
    </xf>
    <xf borderId="12" fillId="0" fontId="5" numFmtId="3" xfId="0" applyAlignment="1" applyBorder="1" applyFont="1" applyNumberFormat="1">
      <alignment horizontal="center" readingOrder="0" vertical="center"/>
    </xf>
    <xf borderId="30" fillId="6" fontId="5" numFmtId="3" xfId="0" applyAlignment="1" applyBorder="1" applyFont="1" applyNumberFormat="1">
      <alignment horizontal="center" readingOrder="0" vertical="center"/>
    </xf>
    <xf borderId="31" fillId="4" fontId="5" numFmtId="3" xfId="0" applyAlignment="1" applyBorder="1" applyFont="1" applyNumberFormat="1">
      <alignment horizontal="center" readingOrder="0" vertical="center"/>
    </xf>
    <xf borderId="30" fillId="4" fontId="5" numFmtId="3" xfId="0" applyAlignment="1" applyBorder="1" applyFont="1" applyNumberFormat="1">
      <alignment horizontal="center" readingOrder="0" vertical="center"/>
    </xf>
    <xf borderId="37" fillId="0" fontId="2" numFmtId="0" xfId="0" applyAlignment="1" applyBorder="1" applyFont="1">
      <alignment horizontal="left" vertical="center"/>
    </xf>
    <xf borderId="41" fillId="0" fontId="2" numFmtId="3" xfId="0" applyAlignment="1" applyBorder="1" applyFont="1" applyNumberFormat="1">
      <alignment horizontal="center" vertical="center"/>
    </xf>
    <xf borderId="42" fillId="0" fontId="2" numFmtId="3" xfId="0" applyAlignment="1" applyBorder="1" applyFont="1" applyNumberFormat="1">
      <alignment horizontal="center" vertical="center"/>
    </xf>
    <xf borderId="43" fillId="3" fontId="3" numFmtId="3" xfId="0" applyAlignment="1" applyBorder="1" applyFont="1" applyNumberFormat="1">
      <alignment horizontal="center" vertical="center"/>
    </xf>
    <xf borderId="44" fillId="3" fontId="3" numFmtId="3" xfId="0" applyAlignment="1" applyBorder="1" applyFont="1" applyNumberFormat="1">
      <alignment horizontal="center" vertical="center"/>
    </xf>
    <xf borderId="23" fillId="3" fontId="5" numFmtId="4" xfId="0" applyAlignment="1" applyBorder="1" applyFont="1" applyNumberFormat="1">
      <alignment horizontal="center" readingOrder="0" vertical="center"/>
    </xf>
    <xf borderId="9" fillId="0" fontId="5" numFmtId="0" xfId="0" applyAlignment="1" applyBorder="1" applyFont="1">
      <alignment horizontal="left" readingOrder="0" vertical="center"/>
    </xf>
    <xf borderId="11" fillId="0" fontId="5" numFmtId="3" xfId="0" applyAlignment="1" applyBorder="1" applyFont="1" applyNumberFormat="1">
      <alignment horizontal="center" readingOrder="0" vertical="center"/>
    </xf>
    <xf borderId="11" fillId="0" fontId="3" numFmtId="3" xfId="0" applyAlignment="1" applyBorder="1" applyFont="1" applyNumberFormat="1">
      <alignment horizontal="center" readingOrder="0" vertical="center"/>
    </xf>
    <xf borderId="31" fillId="0" fontId="3" numFmtId="3" xfId="0" applyAlignment="1" applyBorder="1" applyFont="1" applyNumberFormat="1">
      <alignment horizontal="center" readingOrder="0" vertical="center"/>
    </xf>
    <xf borderId="35" fillId="0" fontId="5" numFmtId="4" xfId="0" applyAlignment="1" applyBorder="1" applyFont="1" applyNumberFormat="1">
      <alignment horizontal="center" readingOrder="0" vertical="center"/>
    </xf>
    <xf borderId="9" fillId="0" fontId="3" numFmtId="0" xfId="0" applyAlignment="1" applyBorder="1" applyFont="1">
      <alignment horizontal="left" vertical="center"/>
    </xf>
    <xf borderId="0" fillId="0" fontId="6" numFmtId="0" xfId="0" applyFont="1"/>
    <xf borderId="10" fillId="0" fontId="7" numFmtId="0" xfId="0" applyAlignment="1" applyBorder="1" applyFont="1">
      <alignment horizontal="center" vertical="center"/>
    </xf>
    <xf borderId="12" fillId="0" fontId="7" numFmtId="3" xfId="0" applyAlignment="1" applyBorder="1" applyFont="1" applyNumberFormat="1">
      <alignment horizontal="center" vertical="center"/>
    </xf>
    <xf borderId="11" fillId="0" fontId="7" numFmtId="3" xfId="0" applyAlignment="1" applyBorder="1" applyFont="1" applyNumberFormat="1">
      <alignment horizontal="center" vertical="center"/>
    </xf>
    <xf borderId="13" fillId="0" fontId="7" numFmtId="3" xfId="0" applyAlignment="1" applyBorder="1" applyFont="1" applyNumberFormat="1">
      <alignment horizontal="center" vertical="center"/>
    </xf>
    <xf borderId="0" fillId="0" fontId="6" numFmtId="3" xfId="0" applyAlignment="1" applyFont="1" applyNumberFormat="1">
      <alignment horizontal="center" vertical="center"/>
    </xf>
    <xf borderId="13" fillId="0" fontId="7" numFmtId="9" xfId="0" applyAlignment="1" applyBorder="1" applyFont="1" applyNumberFormat="1">
      <alignment horizontal="center" vertical="center"/>
    </xf>
    <xf borderId="9" fillId="6" fontId="5" numFmtId="0" xfId="0" applyAlignment="1" applyBorder="1" applyFont="1">
      <alignment horizontal="left" readingOrder="0" vertical="center"/>
    </xf>
    <xf borderId="9" fillId="7" fontId="5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readingOrder="0"/>
    </xf>
    <xf borderId="8" fillId="3" fontId="3" numFmtId="0" xfId="0" applyAlignment="1" applyBorder="1" applyFont="1">
      <alignment horizontal="left" vertical="center"/>
    </xf>
    <xf borderId="8" fillId="3" fontId="3" numFmtId="0" xfId="0" applyAlignment="1" applyBorder="1" applyFont="1">
      <alignment horizontal="center" vertical="center"/>
    </xf>
    <xf borderId="45" fillId="3" fontId="3" numFmtId="3" xfId="0" applyAlignment="1" applyBorder="1" applyFont="1" applyNumberFormat="1">
      <alignment horizontal="center" vertical="center"/>
    </xf>
    <xf borderId="46" fillId="3" fontId="3" numFmtId="3" xfId="0" applyAlignment="1" applyBorder="1" applyFont="1" applyNumberFormat="1">
      <alignment horizontal="center" vertical="center"/>
    </xf>
    <xf borderId="47" fillId="3" fontId="3" numFmtId="3" xfId="0" applyAlignment="1" applyBorder="1" applyFont="1" applyNumberFormat="1">
      <alignment horizontal="center" vertical="center"/>
    </xf>
    <xf borderId="47" fillId="3" fontId="3" numFmtId="9" xfId="0" applyAlignment="1" applyBorder="1" applyFont="1" applyNumberFormat="1">
      <alignment horizontal="center" vertical="center"/>
    </xf>
    <xf borderId="38" fillId="8" fontId="2" numFmtId="3" xfId="0" applyAlignment="1" applyBorder="1" applyFill="1" applyFont="1" applyNumberFormat="1">
      <alignment horizontal="center" vertical="center"/>
    </xf>
    <xf borderId="39" fillId="0" fontId="1" numFmtId="3" xfId="0" applyAlignment="1" applyBorder="1" applyFont="1" applyNumberFormat="1">
      <alignment horizontal="center" vertical="center"/>
    </xf>
    <xf borderId="8" fillId="3" fontId="5" numFmtId="0" xfId="0" applyAlignment="1" applyBorder="1" applyFont="1">
      <alignment horizontal="left" readingOrder="0" vertical="center"/>
    </xf>
    <xf borderId="37" fillId="0" fontId="1" numFmtId="0" xfId="0" applyAlignment="1" applyBorder="1" applyFont="1">
      <alignment horizontal="left" readingOrder="0" vertical="center"/>
    </xf>
    <xf borderId="14" fillId="0" fontId="2" numFmtId="0" xfId="0" applyAlignment="1" applyBorder="1" applyFont="1">
      <alignment horizontal="center" vertical="center"/>
    </xf>
    <xf borderId="48" fillId="0" fontId="2" numFmtId="3" xfId="0" applyAlignment="1" applyBorder="1" applyFont="1" applyNumberFormat="1">
      <alignment horizontal="center" vertical="center"/>
    </xf>
    <xf borderId="48" fillId="0" fontId="2" numFmtId="9" xfId="0" applyAlignment="1" applyBorder="1" applyFont="1" applyNumberFormat="1">
      <alignment horizontal="center" vertical="center"/>
    </xf>
    <xf borderId="0" fillId="0" fontId="8" numFmtId="0" xfId="0" applyFont="1"/>
    <xf borderId="9" fillId="3" fontId="9" numFmtId="0" xfId="0" applyAlignment="1" applyBorder="1" applyFont="1">
      <alignment horizontal="left" readingOrder="0" vertical="center"/>
    </xf>
    <xf borderId="9" fillId="3" fontId="9" numFmtId="0" xfId="0" applyAlignment="1" applyBorder="1" applyFont="1">
      <alignment horizontal="center" readingOrder="0" vertical="center"/>
    </xf>
    <xf borderId="49" fillId="3" fontId="9" numFmtId="3" xfId="0" applyAlignment="1" applyBorder="1" applyFont="1" applyNumberFormat="1">
      <alignment horizontal="center" vertical="center"/>
    </xf>
    <xf borderId="50" fillId="3" fontId="9" numFmtId="3" xfId="0" applyAlignment="1" applyBorder="1" applyFont="1" applyNumberFormat="1">
      <alignment horizontal="center" vertical="center"/>
    </xf>
    <xf borderId="51" fillId="3" fontId="9" numFmtId="3" xfId="0" applyAlignment="1" applyBorder="1" applyFont="1" applyNumberFormat="1">
      <alignment horizontal="center" vertical="center"/>
    </xf>
    <xf borderId="0" fillId="0" fontId="8" numFmtId="3" xfId="0" applyAlignment="1" applyFont="1" applyNumberFormat="1">
      <alignment horizontal="center" vertical="center"/>
    </xf>
    <xf borderId="52" fillId="0" fontId="8" numFmtId="0" xfId="0" applyBorder="1" applyFont="1"/>
    <xf borderId="50" fillId="3" fontId="9" numFmtId="3" xfId="0" applyAlignment="1" applyBorder="1" applyFont="1" applyNumberFormat="1">
      <alignment horizontal="center" readingOrder="0" vertical="center"/>
    </xf>
    <xf borderId="53" fillId="3" fontId="9" numFmtId="3" xfId="0" applyAlignment="1" applyBorder="1" applyFont="1" applyNumberFormat="1">
      <alignment horizontal="center" readingOrder="0" vertical="center"/>
    </xf>
    <xf borderId="47" fillId="3" fontId="9" numFmtId="9" xfId="0" applyAlignment="1" applyBorder="1" applyFont="1" applyNumberFormat="1">
      <alignment horizontal="center" vertical="center"/>
    </xf>
    <xf borderId="51" fillId="3" fontId="9" numFmtId="9" xfId="0" applyAlignment="1" applyBorder="1" applyFont="1" applyNumberFormat="1">
      <alignment horizontal="center" vertical="center"/>
    </xf>
    <xf borderId="8" fillId="3" fontId="9" numFmtId="0" xfId="0" applyAlignment="1" applyBorder="1" applyFont="1">
      <alignment horizontal="left" vertical="center"/>
    </xf>
    <xf borderId="8" fillId="3" fontId="9" numFmtId="0" xfId="0" applyAlignment="1" applyBorder="1" applyFont="1">
      <alignment horizontal="center" vertical="center"/>
    </xf>
    <xf borderId="45" fillId="3" fontId="9" numFmtId="3" xfId="0" applyAlignment="1" applyBorder="1" applyFont="1" applyNumberFormat="1">
      <alignment horizontal="center" vertical="center"/>
    </xf>
    <xf borderId="46" fillId="3" fontId="9" numFmtId="3" xfId="0" applyAlignment="1" applyBorder="1" applyFont="1" applyNumberFormat="1">
      <alignment horizontal="center" vertical="center"/>
    </xf>
    <xf borderId="47" fillId="3" fontId="9" numFmtId="3" xfId="0" applyAlignment="1" applyBorder="1" applyFont="1" applyNumberFormat="1">
      <alignment horizontal="center" vertical="center"/>
    </xf>
    <xf borderId="54" fillId="3" fontId="9" numFmtId="3" xfId="0" applyAlignment="1" applyBorder="1" applyFont="1" applyNumberFormat="1">
      <alignment horizontal="center" readingOrder="0" vertical="center"/>
    </xf>
    <xf borderId="54" fillId="3" fontId="9" numFmtId="3" xfId="0" applyAlignment="1" applyBorder="1" applyFont="1" applyNumberFormat="1">
      <alignment horizontal="center" vertical="center"/>
    </xf>
    <xf borderId="8" fillId="3" fontId="9" numFmtId="0" xfId="0" applyAlignment="1" applyBorder="1" applyFont="1">
      <alignment horizontal="left" readingOrder="0" vertical="center"/>
    </xf>
    <xf borderId="8" fillId="3" fontId="9" numFmtId="0" xfId="0" applyAlignment="1" applyBorder="1" applyFont="1">
      <alignment horizontal="center" readingOrder="0" vertical="center"/>
    </xf>
    <xf borderId="0" fillId="0" fontId="2" numFmtId="3" xfId="0" applyFont="1" applyNumberFormat="1"/>
    <xf borderId="0" fillId="0" fontId="2" numFmtId="0" xfId="0" applyAlignment="1" applyFont="1">
      <alignment horizontal="left"/>
    </xf>
    <xf borderId="0" fillId="0" fontId="10" numFmtId="0" xfId="0" applyFont="1"/>
    <xf borderId="0" fillId="0" fontId="11" numFmtId="0" xfId="0" applyFont="1"/>
    <xf borderId="0" fillId="0" fontId="11" numFmtId="3" xfId="0" applyFont="1" applyNumberFormat="1"/>
    <xf borderId="0" fillId="0" fontId="12" numFmtId="0" xfId="0" applyFont="1"/>
    <xf borderId="0" fillId="0" fontId="12" numFmtId="3" xfId="0" applyFont="1" applyNumberFormat="1"/>
    <xf borderId="0" fillId="0" fontId="10" numFmtId="3" xfId="0" applyFont="1" applyNumberFormat="1"/>
    <xf borderId="0" fillId="0" fontId="1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</xdr:row>
      <xdr:rowOff>19050</xdr:rowOff>
    </xdr:from>
    <xdr:ext cx="1685925" cy="714375"/>
    <xdr:pic>
      <xdr:nvPicPr>
        <xdr:cNvPr descr="A Betwarrior é confiável? Veja todas as informações aqui!"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uri Campos" id="{0a75e3da-e4c0-4e0d-9078-e9dbed301bc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02T17:05:48.00" personId="{0a75e3da-e4c0-4e0d-9078-e9dbed301bcd}" id="{4bde7122-59c7-4c2a-8af3-aebab0c5b413}" done="0">
    <x18tc:text xml:space="preserve">Dados referentes a bet counts do relatorio abaixo&gt; Esses dados serao confirmados com a equipe de sportsbook na segunda : https://app.powerbi.com/groups/00ecb2bb-6c61-4d09-badb-a4df0c948b02/reports/36ec3fba-6003-42ae-b1a6-fd8aadf317c4/5ce0eacf89c05111447c?ctid=72047bc0-f083-4cc8-bf2a-6fb5731f5b13&amp;experience=power-bi&amp;clientSideAuth=0</x18tc:text>
    <x18tc:extLst>
      <ext uri="{F7C98A9C-CBB3-438F-8F68-D28B6AF4A901}">
        <xltc2:checksum/>
        <xltc2:hyperlink startIndex="121" length="212" url="https://app.powerbi.com/groups/00ecb2bb-6c61-4d09-badb-a4df0c948b02/reports/36ec3fba-6003-42ae-b1a6-fd8aadf317c4/5ce0eacf89c05111447c?ctid=72047bc0-f083-4cc8-bf2a-6fb5731f5b13&amp;experience=power-bi&amp;clientSideAuth=0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9.0" ySplit="8.0" topLeftCell="J9" activePane="bottomRight" state="frozen"/>
      <selection activeCell="J1" sqref="J1" pane="topRight"/>
      <selection activeCell="A9" sqref="A9" pane="bottomLeft"/>
      <selection activeCell="J9" sqref="J9" pane="bottomRight"/>
    </sheetView>
  </sheetViews>
  <sheetFormatPr customHeight="1" defaultColWidth="11.22" defaultRowHeight="15.0" outlineLevelRow="1"/>
  <cols>
    <col customWidth="1" min="1" max="1" width="2.78"/>
    <col customWidth="1" min="2" max="2" width="20.67"/>
    <col customWidth="1" min="3" max="3" width="4.78"/>
    <col customWidth="1" min="4" max="4" width="1.11"/>
    <col customWidth="1" min="5" max="8" width="10.44"/>
    <col customWidth="1" min="9" max="9" width="1.11"/>
    <col customWidth="1" min="10" max="18" width="10.44"/>
    <col customWidth="1" min="19" max="19" width="1.11"/>
    <col customWidth="1" min="20" max="25" width="10.44"/>
    <col customWidth="1" min="26" max="26" width="12.44"/>
    <col customWidth="1" min="27" max="55" width="10.44"/>
    <col customWidth="1" min="56" max="56" width="1.11"/>
    <col customWidth="1" min="57" max="65" width="10.44"/>
  </cols>
  <sheetData>
    <row r="1" ht="15.75" customHeight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ht="30.0" customHeight="1">
      <c r="A2" s="3"/>
      <c r="B2" s="4"/>
      <c r="C2" s="5"/>
      <c r="D2" s="3"/>
      <c r="E2" s="6" t="s">
        <v>0</v>
      </c>
      <c r="F2" s="7"/>
      <c r="G2" s="7"/>
      <c r="H2" s="8"/>
      <c r="I2" s="3"/>
      <c r="J2" s="6">
        <v>45931.0</v>
      </c>
      <c r="K2" s="7"/>
      <c r="L2" s="8"/>
      <c r="M2" s="6">
        <v>45962.0</v>
      </c>
      <c r="N2" s="7"/>
      <c r="O2" s="8"/>
      <c r="P2" s="6">
        <v>45992.0</v>
      </c>
      <c r="Q2" s="7"/>
      <c r="R2" s="8"/>
      <c r="S2" s="3" t="s">
        <v>1</v>
      </c>
      <c r="T2" s="6">
        <v>46023.0</v>
      </c>
      <c r="U2" s="7"/>
      <c r="V2" s="8"/>
      <c r="W2" s="6">
        <v>46054.0</v>
      </c>
      <c r="X2" s="7"/>
      <c r="Y2" s="8"/>
      <c r="Z2" s="6">
        <v>46082.0</v>
      </c>
      <c r="AA2" s="7"/>
      <c r="AB2" s="8"/>
      <c r="AC2" s="6">
        <v>46113.0</v>
      </c>
      <c r="AD2" s="7"/>
      <c r="AE2" s="8"/>
      <c r="AF2" s="6">
        <v>46143.0</v>
      </c>
      <c r="AG2" s="7"/>
      <c r="AH2" s="8"/>
      <c r="AI2" s="6">
        <v>46174.0</v>
      </c>
      <c r="AJ2" s="7"/>
      <c r="AK2" s="8"/>
      <c r="AL2" s="6">
        <v>46204.0</v>
      </c>
      <c r="AM2" s="7"/>
      <c r="AN2" s="8"/>
      <c r="AO2" s="6">
        <v>46235.0</v>
      </c>
      <c r="AP2" s="7"/>
      <c r="AQ2" s="8"/>
      <c r="AR2" s="6">
        <v>46266.0</v>
      </c>
      <c r="AS2" s="7"/>
      <c r="AT2" s="8"/>
      <c r="AU2" s="6">
        <v>46296.0</v>
      </c>
      <c r="AV2" s="7"/>
      <c r="AW2" s="8"/>
      <c r="AX2" s="6">
        <v>46327.0</v>
      </c>
      <c r="AY2" s="7"/>
      <c r="AZ2" s="8"/>
      <c r="BA2" s="6">
        <v>46357.0</v>
      </c>
      <c r="BB2" s="7"/>
      <c r="BC2" s="8"/>
      <c r="BD2" s="3"/>
      <c r="BE2" s="6">
        <v>46388.0</v>
      </c>
      <c r="BF2" s="7"/>
      <c r="BG2" s="8"/>
      <c r="BH2" s="6">
        <v>46419.0</v>
      </c>
      <c r="BI2" s="7"/>
      <c r="BJ2" s="8"/>
      <c r="BK2" s="6">
        <v>46447.0</v>
      </c>
      <c r="BL2" s="7"/>
      <c r="BM2" s="8"/>
    </row>
    <row r="3" ht="30.0" customHeight="1">
      <c r="A3" s="3"/>
      <c r="B3" s="9"/>
      <c r="C3" s="10"/>
      <c r="D3" s="3"/>
      <c r="E3" s="11">
        <v>2025.0</v>
      </c>
      <c r="F3" s="11">
        <v>2026.0</v>
      </c>
      <c r="G3" s="11">
        <v>2027.0</v>
      </c>
      <c r="H3" s="11" t="s">
        <v>2</v>
      </c>
      <c r="I3" s="3"/>
      <c r="J3" s="11" t="s">
        <v>3</v>
      </c>
      <c r="K3" s="11" t="s">
        <v>4</v>
      </c>
      <c r="L3" s="11" t="s">
        <v>5</v>
      </c>
      <c r="M3" s="11" t="s">
        <v>3</v>
      </c>
      <c r="N3" s="11" t="s">
        <v>4</v>
      </c>
      <c r="O3" s="11" t="s">
        <v>5</v>
      </c>
      <c r="P3" s="11" t="s">
        <v>3</v>
      </c>
      <c r="Q3" s="11" t="s">
        <v>4</v>
      </c>
      <c r="R3" s="11" t="s">
        <v>5</v>
      </c>
      <c r="S3" s="3"/>
      <c r="T3" s="11" t="s">
        <v>3</v>
      </c>
      <c r="U3" s="11" t="s">
        <v>4</v>
      </c>
      <c r="V3" s="11" t="s">
        <v>5</v>
      </c>
      <c r="W3" s="11" t="s">
        <v>3</v>
      </c>
      <c r="X3" s="11" t="s">
        <v>4</v>
      </c>
      <c r="Y3" s="11" t="s">
        <v>5</v>
      </c>
      <c r="Z3" s="11" t="s">
        <v>3</v>
      </c>
      <c r="AA3" s="11" t="s">
        <v>4</v>
      </c>
      <c r="AB3" s="11" t="s">
        <v>5</v>
      </c>
      <c r="AC3" s="11" t="s">
        <v>3</v>
      </c>
      <c r="AD3" s="11" t="s">
        <v>4</v>
      </c>
      <c r="AE3" s="11" t="s">
        <v>5</v>
      </c>
      <c r="AF3" s="11" t="s">
        <v>3</v>
      </c>
      <c r="AG3" s="11" t="s">
        <v>4</v>
      </c>
      <c r="AH3" s="11" t="s">
        <v>5</v>
      </c>
      <c r="AI3" s="11" t="s">
        <v>3</v>
      </c>
      <c r="AJ3" s="11" t="s">
        <v>4</v>
      </c>
      <c r="AK3" s="11" t="s">
        <v>5</v>
      </c>
      <c r="AL3" s="11" t="s">
        <v>3</v>
      </c>
      <c r="AM3" s="11" t="s">
        <v>4</v>
      </c>
      <c r="AN3" s="11" t="s">
        <v>5</v>
      </c>
      <c r="AO3" s="11" t="s">
        <v>3</v>
      </c>
      <c r="AP3" s="11" t="s">
        <v>4</v>
      </c>
      <c r="AQ3" s="11" t="s">
        <v>5</v>
      </c>
      <c r="AR3" s="11" t="s">
        <v>3</v>
      </c>
      <c r="AS3" s="11" t="s">
        <v>4</v>
      </c>
      <c r="AT3" s="11" t="s">
        <v>5</v>
      </c>
      <c r="AU3" s="11" t="s">
        <v>3</v>
      </c>
      <c r="AV3" s="11" t="s">
        <v>4</v>
      </c>
      <c r="AW3" s="11" t="s">
        <v>5</v>
      </c>
      <c r="AX3" s="11" t="s">
        <v>3</v>
      </c>
      <c r="AY3" s="11" t="s">
        <v>4</v>
      </c>
      <c r="AZ3" s="11" t="s">
        <v>5</v>
      </c>
      <c r="BA3" s="11" t="s">
        <v>3</v>
      </c>
      <c r="BB3" s="11" t="s">
        <v>4</v>
      </c>
      <c r="BC3" s="11" t="s">
        <v>5</v>
      </c>
      <c r="BD3" s="3"/>
      <c r="BE3" s="11" t="s">
        <v>3</v>
      </c>
      <c r="BF3" s="11" t="s">
        <v>4</v>
      </c>
      <c r="BG3" s="11" t="s">
        <v>5</v>
      </c>
      <c r="BH3" s="11" t="s">
        <v>3</v>
      </c>
      <c r="BI3" s="11" t="s">
        <v>4</v>
      </c>
      <c r="BJ3" s="11" t="s">
        <v>5</v>
      </c>
      <c r="BK3" s="11" t="s">
        <v>3</v>
      </c>
      <c r="BL3" s="11" t="s">
        <v>4</v>
      </c>
      <c r="BM3" s="11" t="s">
        <v>5</v>
      </c>
    </row>
    <row r="4" ht="6.0" customHeight="1">
      <c r="A4" s="2"/>
      <c r="B4" s="2"/>
      <c r="C4" s="3"/>
      <c r="D4" s="2"/>
      <c r="E4" s="12"/>
      <c r="F4" s="12"/>
      <c r="G4" s="12"/>
      <c r="H4" s="12"/>
      <c r="I4" s="2"/>
      <c r="J4" s="12"/>
      <c r="K4" s="12"/>
      <c r="L4" s="12"/>
      <c r="M4" s="12"/>
      <c r="N4" s="12"/>
      <c r="O4" s="12"/>
      <c r="P4" s="12"/>
      <c r="Q4" s="12"/>
      <c r="R4" s="12"/>
      <c r="S4" s="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2"/>
      <c r="BE4" s="12"/>
      <c r="BF4" s="12"/>
      <c r="BG4" s="12"/>
      <c r="BH4" s="12"/>
      <c r="BI4" s="12"/>
      <c r="BJ4" s="12"/>
      <c r="BK4" s="12"/>
      <c r="BL4" s="12"/>
      <c r="BM4" s="12"/>
    </row>
    <row r="5" ht="15.75" customHeight="1">
      <c r="A5" s="2"/>
      <c r="B5" s="13" t="s">
        <v>2</v>
      </c>
      <c r="C5" s="14" t="s">
        <v>6</v>
      </c>
      <c r="D5" s="2"/>
      <c r="E5" s="15">
        <f t="shared" ref="E5:H5" si="1">E9+E72+E93+E120+E145+E162+E156+E141+E150</f>
        <v>618654.99</v>
      </c>
      <c r="F5" s="15">
        <f t="shared" si="1"/>
        <v>8968389.52</v>
      </c>
      <c r="G5" s="15">
        <f t="shared" si="1"/>
        <v>885678.6953</v>
      </c>
      <c r="H5" s="15">
        <f t="shared" si="1"/>
        <v>10472723.2</v>
      </c>
      <c r="I5" s="16"/>
      <c r="J5" s="17" t="s">
        <v>7</v>
      </c>
      <c r="K5" s="15">
        <f>K9+K72+K93+K120+K141+K145+K150+K156+K162</f>
        <v>69237.67</v>
      </c>
      <c r="L5" s="18" t="s">
        <v>7</v>
      </c>
      <c r="M5" s="17" t="s">
        <v>7</v>
      </c>
      <c r="N5" s="15">
        <f>N9+N72+N93+N120+N141+N145+N150+N156+N162</f>
        <v>211474.29</v>
      </c>
      <c r="O5" s="18" t="s">
        <v>7</v>
      </c>
      <c r="P5" s="17" t="s">
        <v>7</v>
      </c>
      <c r="Q5" s="15">
        <f>Q9+Q72+Q93+Q120+Q141+Q145+Q150+Q156+Q162</f>
        <v>337943.03</v>
      </c>
      <c r="R5" s="18" t="s">
        <v>7</v>
      </c>
      <c r="S5" s="2"/>
      <c r="T5" s="17" t="s">
        <v>7</v>
      </c>
      <c r="U5" s="15">
        <f>U9+U72+U93+U120+U141+U145+U150+U156+U162</f>
        <v>391391.3457</v>
      </c>
      <c r="V5" s="18" t="s">
        <v>7</v>
      </c>
      <c r="W5" s="17" t="s">
        <v>7</v>
      </c>
      <c r="X5" s="15">
        <f>X9+X72+X93+X120+X141+X145+X150+X156+X162</f>
        <v>414022.804</v>
      </c>
      <c r="Y5" s="18" t="s">
        <v>7</v>
      </c>
      <c r="Z5" s="17">
        <f t="shared" ref="Z5:AA5" si="2">Z9+Z72+Z93+Z120+Z141+Z145+Z150+Z156+Z162</f>
        <v>568520.9379</v>
      </c>
      <c r="AA5" s="15">
        <f t="shared" si="2"/>
        <v>469152.6988</v>
      </c>
      <c r="AB5" s="19">
        <f t="shared" ref="AB5:AB7" si="17">IFERROR(((AA5-Z5)/Z5),0)</f>
        <v>-0.1747837809</v>
      </c>
      <c r="AC5" s="17">
        <f t="shared" ref="AC5:AD5" si="3">AC9+AC72+AC93+AC120+AC141+AC145+AC150+AC156+AC162</f>
        <v>895678.8843</v>
      </c>
      <c r="AD5" s="15">
        <f t="shared" si="3"/>
        <v>801005.6973</v>
      </c>
      <c r="AE5" s="19">
        <f t="shared" ref="AE5:AE7" si="19">IFERROR(((AD5-AC5)/AC5),0)</f>
        <v>-0.1056999207</v>
      </c>
      <c r="AF5" s="17">
        <f t="shared" ref="AF5:AG5" si="4">AF9+AF72+AF93+AF120+AF141+AF145+AF150+AF156+AF162</f>
        <v>1288832.948</v>
      </c>
      <c r="AG5" s="15">
        <f t="shared" si="4"/>
        <v>1288832.948</v>
      </c>
      <c r="AH5" s="19">
        <f t="shared" ref="AH5:AH7" si="21">IFERROR(((AG5-AF5)/AF5),0)</f>
        <v>0</v>
      </c>
      <c r="AI5" s="17">
        <f t="shared" ref="AI5:AJ5" si="5">AI9+AI72+AI93+AI120+AI141+AI145+AI150+AI156+AI162</f>
        <v>895335.3574</v>
      </c>
      <c r="AJ5" s="15">
        <f t="shared" si="5"/>
        <v>895335.3574</v>
      </c>
      <c r="AK5" s="19">
        <f t="shared" ref="AK5:AK7" si="23">IFERROR(((AJ5-AI5)/AI5),0)</f>
        <v>0</v>
      </c>
      <c r="AL5" s="17">
        <f t="shared" ref="AL5:AM5" si="6">AL9+AL72+AL93+AL120+AL141+AL145+AL150+AL156+AL162</f>
        <v>900597.3395</v>
      </c>
      <c r="AM5" s="15">
        <f t="shared" si="6"/>
        <v>900597.3395</v>
      </c>
      <c r="AN5" s="19">
        <f t="shared" ref="AN5:AN7" si="25">IFERROR(((AM5-AL5)/AL5),0)</f>
        <v>0</v>
      </c>
      <c r="AO5" s="17">
        <f t="shared" ref="AO5:AP5" si="7">AO9+AO72+AO93+AO120+AO141+AO145+AO150+AO156+AO162</f>
        <v>831653.2995</v>
      </c>
      <c r="AP5" s="15">
        <f t="shared" si="7"/>
        <v>831653.2995</v>
      </c>
      <c r="AQ5" s="19">
        <f t="shared" ref="AQ5:AQ7" si="27">IFERROR(((AP5-AO5)/AO5),0)</f>
        <v>0</v>
      </c>
      <c r="AR5" s="17">
        <f t="shared" ref="AR5:AS5" si="8">AR9+AR72+AR93+AR120+AR141+AR145+AR150+AR156+AR162</f>
        <v>734653.2995</v>
      </c>
      <c r="AS5" s="15">
        <f t="shared" si="8"/>
        <v>734653.2995</v>
      </c>
      <c r="AT5" s="19">
        <f t="shared" ref="AT5:AT7" si="29">IFERROR(((AS5-AR5)/AR5),0)</f>
        <v>0</v>
      </c>
      <c r="AU5" s="17">
        <f t="shared" ref="AU5:AV5" si="9">AU9+AU72+AU93+AU120+AU141+AU145+AU150+AU156+AU162</f>
        <v>738653.2995</v>
      </c>
      <c r="AV5" s="15">
        <f t="shared" si="9"/>
        <v>738653.2995</v>
      </c>
      <c r="AW5" s="19">
        <f t="shared" ref="AW5:AW7" si="31">IFERROR(((AV5-AU5)/AU5),0)</f>
        <v>0</v>
      </c>
      <c r="AX5" s="17">
        <f t="shared" ref="AX5:AY5" si="10">AX9+AX72+AX93+AX120+AX141+AX145+AX150+AX156+AX162</f>
        <v>741653.2995</v>
      </c>
      <c r="AY5" s="15">
        <f t="shared" si="10"/>
        <v>741653.2995</v>
      </c>
      <c r="AZ5" s="19">
        <f t="shared" ref="AZ5:AZ7" si="33">IFERROR(((AY5-AX5)/AX5),0)</f>
        <v>0</v>
      </c>
      <c r="BA5" s="17">
        <f t="shared" ref="BA5:BB5" si="11">BA9+BA72+BA93+BA120+BA141+BA145+BA150+BA156+BA162</f>
        <v>737553.2395</v>
      </c>
      <c r="BB5" s="15">
        <f t="shared" si="11"/>
        <v>737553.2395</v>
      </c>
      <c r="BC5" s="19">
        <f t="shared" ref="BC5:BC7" si="35">IFERROR(((BB5-BA5)/BA5),0)</f>
        <v>0</v>
      </c>
      <c r="BD5" s="16"/>
      <c r="BE5" s="17">
        <f t="shared" ref="BE5:BF5" si="12">BE9+BE72+BE93+BE120+BE141+BE145+BE150+BE156+BE162</f>
        <v>435771.0023</v>
      </c>
      <c r="BF5" s="15">
        <f t="shared" si="12"/>
        <v>435771.0023</v>
      </c>
      <c r="BG5" s="19">
        <f t="shared" ref="BG5:BG7" si="37">IFERROR(((BF5-BE5)/BE5),0)</f>
        <v>0</v>
      </c>
      <c r="BH5" s="17">
        <f t="shared" ref="BH5:BI5" si="13">BH9+BH72+BH93+BH120+BH141+BH145+BH150+BH156+BH162</f>
        <v>435771.0023</v>
      </c>
      <c r="BI5" s="15">
        <f t="shared" si="13"/>
        <v>435771.0023</v>
      </c>
      <c r="BJ5" s="19">
        <f t="shared" ref="BJ5:BJ7" si="39">IFERROR(((BI5-BH5)/BH5),0)</f>
        <v>0</v>
      </c>
      <c r="BK5" s="17">
        <f t="shared" ref="BK5:BL5" si="14">BK9+BK72+BK93+BK120+BK141+BK145+BK150+BK156+BK162</f>
        <v>5179.856115</v>
      </c>
      <c r="BL5" s="15">
        <f t="shared" si="14"/>
        <v>5179.856115</v>
      </c>
      <c r="BM5" s="19">
        <f t="shared" ref="BM5:BM7" si="41">IFERROR(((BL5-BK5)/BK5),0)</f>
        <v>0</v>
      </c>
    </row>
    <row r="6" ht="15.75" customHeight="1">
      <c r="A6" s="2"/>
      <c r="B6" s="20"/>
      <c r="C6" s="21" t="s">
        <v>8</v>
      </c>
      <c r="D6" s="2"/>
      <c r="E6" s="22">
        <f t="shared" ref="E6:G6" si="15">E10+E73+E94+E121</f>
        <v>5323</v>
      </c>
      <c r="F6" s="23">
        <f t="shared" si="15"/>
        <v>94639.63039</v>
      </c>
      <c r="G6" s="23">
        <f t="shared" si="15"/>
        <v>13543.66667</v>
      </c>
      <c r="H6" s="24">
        <f>SUM(E6:G6)</f>
        <v>113506.2971</v>
      </c>
      <c r="I6" s="16"/>
      <c r="J6" s="22" t="s">
        <v>7</v>
      </c>
      <c r="K6" s="23">
        <f>K10+K73+K94+K121+K161</f>
        <v>2006</v>
      </c>
      <c r="L6" s="24" t="s">
        <v>7</v>
      </c>
      <c r="M6" s="22" t="s">
        <v>7</v>
      </c>
      <c r="N6" s="23">
        <f>N10+N73+N94+N121+N161</f>
        <v>1767</v>
      </c>
      <c r="O6" s="24" t="s">
        <v>7</v>
      </c>
      <c r="P6" s="22" t="s">
        <v>7</v>
      </c>
      <c r="Q6" s="23">
        <f>Q10+Q73+Q94+Q121+Q161</f>
        <v>1550</v>
      </c>
      <c r="R6" s="24" t="s">
        <v>7</v>
      </c>
      <c r="S6" s="2"/>
      <c r="T6" s="22" t="s">
        <v>7</v>
      </c>
      <c r="U6" s="23">
        <f>U10+U73+U94+U121+U161</f>
        <v>932</v>
      </c>
      <c r="V6" s="24" t="s">
        <v>7</v>
      </c>
      <c r="W6" s="22" t="s">
        <v>7</v>
      </c>
      <c r="X6" s="23">
        <f>X10+X73+X94+X121+X161</f>
        <v>1199</v>
      </c>
      <c r="Y6" s="24" t="s">
        <v>7</v>
      </c>
      <c r="Z6" s="23">
        <f t="shared" ref="Z6:AA6" si="16">Z10+Z73+Z94+Z121+Z161</f>
        <v>9518.6</v>
      </c>
      <c r="AA6" s="23">
        <f t="shared" si="16"/>
        <v>1784</v>
      </c>
      <c r="AB6" s="25">
        <f t="shared" si="17"/>
        <v>-0.8125774799</v>
      </c>
      <c r="AC6" s="23">
        <f t="shared" ref="AC6:AD6" si="18">AC10+AC73+AC94+AC121+AC161</f>
        <v>12155.9762</v>
      </c>
      <c r="AD6" s="23">
        <f t="shared" si="18"/>
        <v>11714.11583</v>
      </c>
      <c r="AE6" s="25">
        <f t="shared" si="19"/>
        <v>-0.03634922935</v>
      </c>
      <c r="AF6" s="23">
        <f t="shared" ref="AF6:AG6" si="20">AF10+AF73+AF94+AF121+AF161</f>
        <v>13734.17828</v>
      </c>
      <c r="AG6" s="23">
        <f t="shared" si="20"/>
        <v>13734.17828</v>
      </c>
      <c r="AH6" s="25">
        <f t="shared" si="21"/>
        <v>0</v>
      </c>
      <c r="AI6" s="23">
        <f t="shared" ref="AI6:AJ6" si="22">AI10+AI73+AI94+AI121+AI161</f>
        <v>14312.51091</v>
      </c>
      <c r="AJ6" s="23">
        <f t="shared" si="22"/>
        <v>14312.51091</v>
      </c>
      <c r="AK6" s="25">
        <f t="shared" si="23"/>
        <v>0</v>
      </c>
      <c r="AL6" s="23">
        <f t="shared" ref="AL6:AM6" si="24">AL10+AL73+AL94+AL121+AL161</f>
        <v>14963.21091</v>
      </c>
      <c r="AM6" s="23">
        <f t="shared" si="24"/>
        <v>14963.21091</v>
      </c>
      <c r="AN6" s="25">
        <f t="shared" si="25"/>
        <v>0</v>
      </c>
      <c r="AO6" s="23">
        <f t="shared" ref="AO6:AP6" si="26">AO10+AO73+AO94+AO121+AO161</f>
        <v>13965.56091</v>
      </c>
      <c r="AP6" s="23">
        <f t="shared" si="26"/>
        <v>13965.56091</v>
      </c>
      <c r="AQ6" s="25">
        <f t="shared" si="27"/>
        <v>0</v>
      </c>
      <c r="AR6" s="23">
        <f t="shared" ref="AR6:AS6" si="28">AR10+AR73+AR94+AR121+AR161</f>
        <v>13129.91091</v>
      </c>
      <c r="AS6" s="23">
        <f t="shared" si="28"/>
        <v>13129.91091</v>
      </c>
      <c r="AT6" s="25">
        <f t="shared" si="29"/>
        <v>0</v>
      </c>
      <c r="AU6" s="23">
        <f t="shared" ref="AU6:AV6" si="30">AU10+AU73+AU94+AU121+AU161</f>
        <v>13285.16091</v>
      </c>
      <c r="AV6" s="23">
        <f t="shared" si="30"/>
        <v>13285.16091</v>
      </c>
      <c r="AW6" s="25">
        <f t="shared" si="31"/>
        <v>0</v>
      </c>
      <c r="AX6" s="23">
        <f t="shared" ref="AX6:AY6" si="32">AX10+AX73+AX94+AX121+AX161</f>
        <v>12753.26091</v>
      </c>
      <c r="AY6" s="23">
        <f t="shared" si="32"/>
        <v>12753.26091</v>
      </c>
      <c r="AZ6" s="25">
        <f t="shared" si="33"/>
        <v>0</v>
      </c>
      <c r="BA6" s="23">
        <f t="shared" ref="BA6:BB6" si="34">BA10+BA73+BA94+BA121+BA161</f>
        <v>10347.56091</v>
      </c>
      <c r="BB6" s="23">
        <f t="shared" si="34"/>
        <v>10347.56091</v>
      </c>
      <c r="BC6" s="25">
        <f t="shared" si="35"/>
        <v>0</v>
      </c>
      <c r="BD6" s="16"/>
      <c r="BE6" s="23">
        <f t="shared" ref="BE6:BF6" si="36">BE10+BE73+BE94+BE121+BE161</f>
        <v>8379.9</v>
      </c>
      <c r="BF6" s="23">
        <f t="shared" si="36"/>
        <v>8379.9</v>
      </c>
      <c r="BG6" s="25">
        <f t="shared" si="37"/>
        <v>0</v>
      </c>
      <c r="BH6" s="23">
        <f t="shared" ref="BH6:BI6" si="38">BH10+BH73+BH94+BH121+BH161</f>
        <v>8540.55</v>
      </c>
      <c r="BI6" s="23">
        <f t="shared" si="38"/>
        <v>8540.55</v>
      </c>
      <c r="BJ6" s="25">
        <f t="shared" si="39"/>
        <v>0</v>
      </c>
      <c r="BK6" s="22">
        <f t="shared" ref="BK6:BL6" si="40">BK10+BK73+BK94+BK121+BK161</f>
        <v>50</v>
      </c>
      <c r="BL6" s="23">
        <f t="shared" si="40"/>
        <v>50</v>
      </c>
      <c r="BM6" s="25">
        <f t="shared" si="41"/>
        <v>0</v>
      </c>
    </row>
    <row r="7" ht="15.75" customHeight="1">
      <c r="B7" s="26"/>
      <c r="C7" s="27" t="s">
        <v>9</v>
      </c>
      <c r="D7" s="2"/>
      <c r="E7" s="28">
        <f t="shared" ref="E7:H7" si="42">IFERROR(E5/E6,0)</f>
        <v>116.2229927</v>
      </c>
      <c r="F7" s="29">
        <f t="shared" si="42"/>
        <v>94.76357296</v>
      </c>
      <c r="G7" s="29">
        <f t="shared" si="42"/>
        <v>65.39430695</v>
      </c>
      <c r="H7" s="30">
        <f t="shared" si="42"/>
        <v>92.26557007</v>
      </c>
      <c r="I7" s="31"/>
      <c r="J7" s="28" t="s">
        <v>7</v>
      </c>
      <c r="K7" s="29">
        <f>IFERROR(K5/K6,0)</f>
        <v>34.51528913</v>
      </c>
      <c r="L7" s="30" t="s">
        <v>7</v>
      </c>
      <c r="M7" s="28" t="s">
        <v>7</v>
      </c>
      <c r="N7" s="29">
        <f>IFERROR(N5/N6,0)</f>
        <v>119.6798472</v>
      </c>
      <c r="O7" s="30" t="s">
        <v>7</v>
      </c>
      <c r="P7" s="28" t="s">
        <v>7</v>
      </c>
      <c r="Q7" s="29">
        <f>IFERROR(Q5/Q6,0)</f>
        <v>218.0277613</v>
      </c>
      <c r="R7" s="30" t="s">
        <v>7</v>
      </c>
      <c r="S7" s="2"/>
      <c r="T7" s="28" t="s">
        <v>7</v>
      </c>
      <c r="U7" s="29">
        <f>IFERROR(U5/U6,0)</f>
        <v>419.9477958</v>
      </c>
      <c r="V7" s="30" t="s">
        <v>7</v>
      </c>
      <c r="W7" s="28" t="s">
        <v>7</v>
      </c>
      <c r="X7" s="29">
        <f>IFERROR(X5/X6,0)</f>
        <v>345.3067589</v>
      </c>
      <c r="Y7" s="30" t="s">
        <v>7</v>
      </c>
      <c r="Z7" s="28">
        <f t="shared" ref="Z7:AA7" si="43">IFERROR(Z5/Z6,0)</f>
        <v>59.72736935</v>
      </c>
      <c r="AA7" s="29">
        <f t="shared" si="43"/>
        <v>262.9779702</v>
      </c>
      <c r="AB7" s="32">
        <f t="shared" si="17"/>
        <v>3.402972591</v>
      </c>
      <c r="AC7" s="28">
        <f t="shared" ref="AC7:AD7" si="44">IFERROR(AC5/AC6,0)</f>
        <v>73.68218476</v>
      </c>
      <c r="AD7" s="29">
        <f t="shared" si="44"/>
        <v>68.37952677</v>
      </c>
      <c r="AE7" s="32">
        <f t="shared" si="19"/>
        <v>-0.07196662263</v>
      </c>
      <c r="AF7" s="28">
        <f t="shared" ref="AF7:AG7" si="45">IFERROR(AF5/AF6,0)</f>
        <v>93.84128567</v>
      </c>
      <c r="AG7" s="29">
        <f t="shared" si="45"/>
        <v>93.84128567</v>
      </c>
      <c r="AH7" s="32">
        <f t="shared" si="21"/>
        <v>0</v>
      </c>
      <c r="AI7" s="28">
        <f t="shared" ref="AI7:AJ7" si="46">IFERROR(AI5/AI6,0)</f>
        <v>62.55613449</v>
      </c>
      <c r="AJ7" s="29">
        <f t="shared" si="46"/>
        <v>62.55613449</v>
      </c>
      <c r="AK7" s="32">
        <f t="shared" si="23"/>
        <v>0</v>
      </c>
      <c r="AL7" s="28">
        <f t="shared" ref="AL7:AM7" si="47">IFERROR(AL5/AL6,0)</f>
        <v>60.1874387</v>
      </c>
      <c r="AM7" s="29">
        <f t="shared" si="47"/>
        <v>60.1874387</v>
      </c>
      <c r="AN7" s="32">
        <f t="shared" si="25"/>
        <v>0</v>
      </c>
      <c r="AO7" s="28">
        <f t="shared" ref="AO7:AP7" si="48">IFERROR(AO5/AO6,0)</f>
        <v>59.55029696</v>
      </c>
      <c r="AP7" s="29">
        <f t="shared" si="48"/>
        <v>59.55029696</v>
      </c>
      <c r="AQ7" s="32">
        <f t="shared" si="27"/>
        <v>0</v>
      </c>
      <c r="AR7" s="28">
        <f t="shared" ref="AR7:AS7" si="49">IFERROR(AR5/AR6,0)</f>
        <v>55.95264922</v>
      </c>
      <c r="AS7" s="29">
        <f t="shared" si="49"/>
        <v>55.95264922</v>
      </c>
      <c r="AT7" s="32">
        <f t="shared" si="29"/>
        <v>0</v>
      </c>
      <c r="AU7" s="28">
        <f t="shared" ref="AU7:AV7" si="50">IFERROR(AU5/AU6,0)</f>
        <v>55.59987602</v>
      </c>
      <c r="AV7" s="29">
        <f t="shared" si="50"/>
        <v>55.59987602</v>
      </c>
      <c r="AW7" s="32">
        <f t="shared" si="31"/>
        <v>0</v>
      </c>
      <c r="AX7" s="28">
        <f t="shared" ref="AX7:AY7" si="51">IFERROR(AX5/AX6,0)</f>
        <v>58.1540129</v>
      </c>
      <c r="AY7" s="29">
        <f t="shared" si="51"/>
        <v>58.1540129</v>
      </c>
      <c r="AZ7" s="32">
        <f t="shared" si="33"/>
        <v>0</v>
      </c>
      <c r="BA7" s="28">
        <f t="shared" ref="BA7:BB7" si="52">IFERROR(BA5/BA6,0)</f>
        <v>71.27797999</v>
      </c>
      <c r="BB7" s="29">
        <f t="shared" si="52"/>
        <v>71.27797999</v>
      </c>
      <c r="BC7" s="32">
        <f t="shared" si="35"/>
        <v>0</v>
      </c>
      <c r="BD7" s="31"/>
      <c r="BE7" s="28">
        <f t="shared" ref="BE7:BF7" si="53">IFERROR(BE5/BE6,0)</f>
        <v>52.00193347</v>
      </c>
      <c r="BF7" s="29">
        <f t="shared" si="53"/>
        <v>52.00193347</v>
      </c>
      <c r="BG7" s="32">
        <f t="shared" si="37"/>
        <v>0</v>
      </c>
      <c r="BH7" s="28">
        <f t="shared" ref="BH7:BI7" si="54">IFERROR(BH5/BH6,0)</f>
        <v>51.02376338</v>
      </c>
      <c r="BI7" s="29">
        <f t="shared" si="54"/>
        <v>51.02376338</v>
      </c>
      <c r="BJ7" s="32">
        <f t="shared" si="39"/>
        <v>0</v>
      </c>
      <c r="BK7" s="28">
        <f t="shared" ref="BK7:BL7" si="55">IFERROR(BK5/BK6,0)</f>
        <v>103.5971223</v>
      </c>
      <c r="BL7" s="29">
        <f t="shared" si="55"/>
        <v>103.5971223</v>
      </c>
      <c r="BM7" s="32">
        <f t="shared" si="41"/>
        <v>0</v>
      </c>
    </row>
    <row r="8" ht="6.0" customHeight="1">
      <c r="A8" s="33"/>
      <c r="B8" s="2"/>
      <c r="C8" s="3"/>
      <c r="D8" s="2"/>
      <c r="E8" s="12"/>
      <c r="F8" s="12"/>
      <c r="G8" s="12"/>
      <c r="H8" s="12"/>
      <c r="I8" s="2"/>
      <c r="J8" s="12"/>
      <c r="K8" s="12"/>
      <c r="L8" s="12"/>
      <c r="M8" s="12"/>
      <c r="N8" s="12"/>
      <c r="O8" s="12"/>
      <c r="P8" s="12"/>
      <c r="Q8" s="12"/>
      <c r="R8" s="12"/>
      <c r="S8" s="2"/>
      <c r="T8" s="12"/>
      <c r="U8" s="12"/>
      <c r="V8" s="12"/>
      <c r="W8" s="12"/>
      <c r="X8" s="12"/>
      <c r="Y8" s="12"/>
      <c r="Z8" s="12"/>
      <c r="AA8" s="12"/>
      <c r="AB8" s="34"/>
      <c r="AC8" s="12"/>
      <c r="AD8" s="12"/>
      <c r="AE8" s="34"/>
      <c r="AF8" s="12"/>
      <c r="AG8" s="12"/>
      <c r="AH8" s="34"/>
      <c r="AI8" s="12"/>
      <c r="AJ8" s="12"/>
      <c r="AK8" s="34"/>
      <c r="AL8" s="12"/>
      <c r="AM8" s="12"/>
      <c r="AN8" s="34"/>
      <c r="AO8" s="12"/>
      <c r="AP8" s="12"/>
      <c r="AQ8" s="34"/>
      <c r="AR8" s="12"/>
      <c r="AS8" s="12"/>
      <c r="AT8" s="34"/>
      <c r="AU8" s="12"/>
      <c r="AV8" s="12"/>
      <c r="AW8" s="34"/>
      <c r="AX8" s="12"/>
      <c r="AY8" s="12"/>
      <c r="AZ8" s="34"/>
      <c r="BA8" s="12"/>
      <c r="BB8" s="12"/>
      <c r="BC8" s="34"/>
      <c r="BD8" s="2"/>
      <c r="BE8" s="12"/>
      <c r="BF8" s="12"/>
      <c r="BG8" s="34"/>
      <c r="BH8" s="12"/>
      <c r="BI8" s="12"/>
      <c r="BJ8" s="34"/>
      <c r="BK8" s="12"/>
      <c r="BL8" s="12"/>
      <c r="BM8" s="34"/>
    </row>
    <row r="9" ht="15.75" customHeight="1">
      <c r="A9" s="35"/>
      <c r="B9" s="36" t="s">
        <v>10</v>
      </c>
      <c r="C9" s="37" t="s">
        <v>6</v>
      </c>
      <c r="D9" s="2"/>
      <c r="E9" s="38">
        <f t="shared" ref="E9:G9" si="56">E12+E18+E27+E48</f>
        <v>146325.65</v>
      </c>
      <c r="F9" s="39">
        <f t="shared" si="56"/>
        <v>4034764.761</v>
      </c>
      <c r="G9" s="39">
        <f t="shared" si="56"/>
        <v>504418.76</v>
      </c>
      <c r="H9" s="40">
        <f t="shared" ref="H9:H10" si="71">SUM(E9:G9)</f>
        <v>4685509.171</v>
      </c>
      <c r="I9" s="16"/>
      <c r="J9" s="38" t="s">
        <v>7</v>
      </c>
      <c r="K9" s="39">
        <f t="shared" ref="K9:K10" si="72">K12+K18+K27+K48</f>
        <v>41974.46</v>
      </c>
      <c r="L9" s="40" t="s">
        <v>7</v>
      </c>
      <c r="M9" s="38" t="s">
        <v>7</v>
      </c>
      <c r="N9" s="39">
        <f t="shared" ref="N9:N10" si="73">N12+N18+N27+N48</f>
        <v>41007.19</v>
      </c>
      <c r="O9" s="40" t="s">
        <v>7</v>
      </c>
      <c r="P9" s="38" t="s">
        <v>7</v>
      </c>
      <c r="Q9" s="39">
        <f t="shared" ref="Q9:Q10" si="74">Q12+Q18+Q27+Q48</f>
        <v>63344</v>
      </c>
      <c r="R9" s="40" t="s">
        <v>7</v>
      </c>
      <c r="S9" s="2"/>
      <c r="T9" s="38" t="s">
        <v>7</v>
      </c>
      <c r="U9" s="39">
        <f t="shared" ref="U9:U10" si="75">U12+U18+U27+U48</f>
        <v>60143.29</v>
      </c>
      <c r="V9" s="40" t="s">
        <v>7</v>
      </c>
      <c r="W9" s="38" t="s">
        <v>7</v>
      </c>
      <c r="X9" s="39">
        <f t="shared" ref="X9:X10" si="76">X12+X18+X27+X48</f>
        <v>112440.2</v>
      </c>
      <c r="Y9" s="40" t="s">
        <v>7</v>
      </c>
      <c r="Z9" s="38">
        <f t="shared" ref="Z9:AA9" si="57">Z12+Z18+Z27+Z48</f>
        <v>291524</v>
      </c>
      <c r="AA9" s="39">
        <f t="shared" si="57"/>
        <v>241552.5468</v>
      </c>
      <c r="AB9" s="41">
        <f t="shared" ref="AB9:AB146" si="78">IFERROR(((AA9-Z9)/Z9),0)</f>
        <v>-0.171414543</v>
      </c>
      <c r="AC9" s="38">
        <f t="shared" ref="AC9:AD9" si="58">AC12+AC18+AC27+AC48</f>
        <v>483620.3512</v>
      </c>
      <c r="AD9" s="39">
        <f t="shared" si="58"/>
        <v>390708.38</v>
      </c>
      <c r="AE9" s="41">
        <f t="shared" ref="AE9:AE146" si="80">IFERROR(((AD9-AC9)/AC9),0)</f>
        <v>-0.1921175794</v>
      </c>
      <c r="AF9" s="38">
        <f t="shared" ref="AF9:AG9" si="59">AF12+AF18+AF27+AF48</f>
        <v>461180.3027</v>
      </c>
      <c r="AG9" s="39">
        <f t="shared" si="59"/>
        <v>461180.3027</v>
      </c>
      <c r="AH9" s="41">
        <f t="shared" ref="AH9:AH146" si="82">IFERROR(((AG9-AF9)/AF9),0)</f>
        <v>0</v>
      </c>
      <c r="AI9" s="38">
        <f t="shared" ref="AI9:AJ9" si="60">AI12+AI18+AI27+AI48</f>
        <v>465962.0059</v>
      </c>
      <c r="AJ9" s="39">
        <f t="shared" si="60"/>
        <v>465962.0059</v>
      </c>
      <c r="AK9" s="41">
        <f t="shared" ref="AK9:AK146" si="84">IFERROR(((AJ9-AI9)/AI9),0)</f>
        <v>0</v>
      </c>
      <c r="AL9" s="38">
        <f t="shared" ref="AL9:AM9" si="61">AL12+AL18+AL27+AL48</f>
        <v>450463.0059</v>
      </c>
      <c r="AM9" s="39">
        <f t="shared" si="61"/>
        <v>450463.0059</v>
      </c>
      <c r="AN9" s="41">
        <f t="shared" ref="AN9:AN68" si="86">IFERROR(((AM9-AL9)/AL9),0)</f>
        <v>0</v>
      </c>
      <c r="AO9" s="38">
        <f t="shared" ref="AO9:AP9" si="62">AO12+AO18+AO27+AO48</f>
        <v>450463.0059</v>
      </c>
      <c r="AP9" s="39">
        <f t="shared" si="62"/>
        <v>450463.0059</v>
      </c>
      <c r="AQ9" s="41">
        <f t="shared" ref="AQ9:AQ68" si="88">IFERROR(((AP9-AO9)/AO9),0)</f>
        <v>0</v>
      </c>
      <c r="AR9" s="38">
        <f t="shared" ref="AR9:AS9" si="63">AR12+AR18+AR27+AR48</f>
        <v>350463.0059</v>
      </c>
      <c r="AS9" s="39">
        <f t="shared" si="63"/>
        <v>350463.0059</v>
      </c>
      <c r="AT9" s="41">
        <f t="shared" ref="AT9:AT68" si="90">IFERROR(((AS9-AR9)/AR9),0)</f>
        <v>0</v>
      </c>
      <c r="AU9" s="38">
        <f t="shared" ref="AU9:AV9" si="64">AU12+AU18+AU27+AU48</f>
        <v>350463.0059</v>
      </c>
      <c r="AV9" s="39">
        <f t="shared" si="64"/>
        <v>350463.0059</v>
      </c>
      <c r="AW9" s="41">
        <f t="shared" ref="AW9:AW68" si="92">IFERROR(((AV9-AU9)/AU9),0)</f>
        <v>0</v>
      </c>
      <c r="AX9" s="38">
        <f t="shared" ref="AX9:AY9" si="65">AX12+AX18+AX27+AX48</f>
        <v>350463.0059</v>
      </c>
      <c r="AY9" s="39">
        <f t="shared" si="65"/>
        <v>350463.0059</v>
      </c>
      <c r="AZ9" s="41">
        <f t="shared" ref="AZ9:AZ68" si="94">IFERROR(((AY9-AX9)/AX9),0)</f>
        <v>0</v>
      </c>
      <c r="BA9" s="38">
        <f t="shared" ref="BA9:BB9" si="66">BA12+BA18+BA27+BA48</f>
        <v>350463.0059</v>
      </c>
      <c r="BB9" s="39">
        <f t="shared" si="66"/>
        <v>350463.0059</v>
      </c>
      <c r="BC9" s="41">
        <f t="shared" ref="BC9:BC68" si="96">IFERROR(((BB9-BA9)/BA9),0)</f>
        <v>0</v>
      </c>
      <c r="BD9" s="16"/>
      <c r="BE9" s="38">
        <f t="shared" ref="BE9:BF9" si="67">BE12+BE18+BE27+BE48</f>
        <v>252209.38</v>
      </c>
      <c r="BF9" s="39">
        <f t="shared" si="67"/>
        <v>252209.38</v>
      </c>
      <c r="BG9" s="41">
        <f t="shared" ref="BG9:BG68" si="98">IFERROR(((BF9-BE9)/BE9),0)</f>
        <v>0</v>
      </c>
      <c r="BH9" s="38">
        <f t="shared" ref="BH9:BI9" si="68">BH12+BH18+BH27+BH48</f>
        <v>252209.38</v>
      </c>
      <c r="BI9" s="39">
        <f t="shared" si="68"/>
        <v>252209.38</v>
      </c>
      <c r="BJ9" s="41">
        <f t="shared" ref="BJ9:BJ68" si="100">IFERROR(((BI9-BH9)/BH9),0)</f>
        <v>0</v>
      </c>
      <c r="BK9" s="38">
        <f t="shared" ref="BK9:BL9" si="69">BK12+BK18+BK27+BK48</f>
        <v>0</v>
      </c>
      <c r="BL9" s="39">
        <f t="shared" si="69"/>
        <v>0</v>
      </c>
      <c r="BM9" s="41">
        <f t="shared" ref="BM9:BM68" si="102">IFERROR(((BL9-BK9)/BK9),0)</f>
        <v>0</v>
      </c>
    </row>
    <row r="10" ht="15.75" customHeight="1">
      <c r="B10" s="20"/>
      <c r="C10" s="42" t="s">
        <v>8</v>
      </c>
      <c r="D10" s="2"/>
      <c r="E10" s="43">
        <f t="shared" ref="E10:G10" si="70">E13+E19+E28+E49</f>
        <v>3472</v>
      </c>
      <c r="F10" s="44">
        <f t="shared" si="70"/>
        <v>40985.89259</v>
      </c>
      <c r="G10" s="44">
        <f t="shared" si="70"/>
        <v>8273.666667</v>
      </c>
      <c r="H10" s="45">
        <f t="shared" si="71"/>
        <v>52731.55926</v>
      </c>
      <c r="I10" s="16"/>
      <c r="J10" s="43" t="s">
        <v>7</v>
      </c>
      <c r="K10" s="44">
        <f t="shared" si="72"/>
        <v>1139</v>
      </c>
      <c r="L10" s="45" t="s">
        <v>7</v>
      </c>
      <c r="M10" s="43" t="s">
        <v>7</v>
      </c>
      <c r="N10" s="44">
        <f t="shared" si="73"/>
        <v>1148</v>
      </c>
      <c r="O10" s="45" t="s">
        <v>7</v>
      </c>
      <c r="P10" s="43" t="s">
        <v>7</v>
      </c>
      <c r="Q10" s="44">
        <f t="shared" si="74"/>
        <v>1185</v>
      </c>
      <c r="R10" s="45" t="s">
        <v>7</v>
      </c>
      <c r="S10" s="2"/>
      <c r="T10" s="43" t="s">
        <v>7</v>
      </c>
      <c r="U10" s="44">
        <f t="shared" si="75"/>
        <v>588</v>
      </c>
      <c r="V10" s="45" t="s">
        <v>7</v>
      </c>
      <c r="W10" s="43" t="s">
        <v>7</v>
      </c>
      <c r="X10" s="44">
        <f t="shared" si="76"/>
        <v>321</v>
      </c>
      <c r="Y10" s="45" t="s">
        <v>7</v>
      </c>
      <c r="Z10" s="43">
        <f t="shared" ref="Z10:AA10" si="77">Z13+Z19+Z28+Z49</f>
        <v>3830</v>
      </c>
      <c r="AA10" s="44">
        <f t="shared" si="77"/>
        <v>750</v>
      </c>
      <c r="AB10" s="46">
        <f t="shared" si="78"/>
        <v>-0.8041775457</v>
      </c>
      <c r="AC10" s="43">
        <f t="shared" ref="AC10:AD10" si="79">AC13+AC19+AC28+AC49</f>
        <v>4384.225923</v>
      </c>
      <c r="AD10" s="44">
        <f t="shared" si="79"/>
        <v>4044.333333</v>
      </c>
      <c r="AE10" s="46">
        <f t="shared" si="80"/>
        <v>-0.07752624885</v>
      </c>
      <c r="AF10" s="43">
        <f t="shared" ref="AF10:AG10" si="81">AF13+AF19+AF28+AF49</f>
        <v>4579.225923</v>
      </c>
      <c r="AG10" s="44">
        <f t="shared" si="81"/>
        <v>4579.225923</v>
      </c>
      <c r="AH10" s="46">
        <f t="shared" si="82"/>
        <v>0</v>
      </c>
      <c r="AI10" s="43">
        <f t="shared" ref="AI10:AJ10" si="83">AI13+AI19+AI28+AI49</f>
        <v>4457.333333</v>
      </c>
      <c r="AJ10" s="44">
        <f t="shared" si="83"/>
        <v>4457.333333</v>
      </c>
      <c r="AK10" s="46">
        <f t="shared" si="84"/>
        <v>0</v>
      </c>
      <c r="AL10" s="43">
        <f t="shared" ref="AL10:AM10" si="85">AL13+AL19+AL28+AL49</f>
        <v>4469.333333</v>
      </c>
      <c r="AM10" s="44">
        <f t="shared" si="85"/>
        <v>4469.333333</v>
      </c>
      <c r="AN10" s="46">
        <f t="shared" si="86"/>
        <v>0</v>
      </c>
      <c r="AO10" s="43">
        <f t="shared" ref="AO10:AP10" si="87">AO13+AO19+AO28+AO49</f>
        <v>4337.333333</v>
      </c>
      <c r="AP10" s="44">
        <f t="shared" si="87"/>
        <v>4337.333333</v>
      </c>
      <c r="AQ10" s="46">
        <f t="shared" si="88"/>
        <v>0</v>
      </c>
      <c r="AR10" s="43">
        <f t="shared" ref="AR10:AS10" si="89">AR13+AR19+AR28+AR49</f>
        <v>3893.333333</v>
      </c>
      <c r="AS10" s="44">
        <f t="shared" si="89"/>
        <v>3893.333333</v>
      </c>
      <c r="AT10" s="46">
        <f t="shared" si="90"/>
        <v>0</v>
      </c>
      <c r="AU10" s="43">
        <f t="shared" ref="AU10:AV10" si="91">AU13+AU19+AU28+AU49</f>
        <v>3988.333333</v>
      </c>
      <c r="AV10" s="44">
        <f t="shared" si="91"/>
        <v>3988.333333</v>
      </c>
      <c r="AW10" s="46">
        <f t="shared" si="92"/>
        <v>0</v>
      </c>
      <c r="AX10" s="43">
        <f t="shared" ref="AX10:AY10" si="93">AX13+AX19+AX28+AX49</f>
        <v>4367.333333</v>
      </c>
      <c r="AY10" s="44">
        <f t="shared" si="93"/>
        <v>4367.333333</v>
      </c>
      <c r="AZ10" s="46">
        <f t="shared" si="94"/>
        <v>0</v>
      </c>
      <c r="BA10" s="43">
        <f t="shared" ref="BA10:BB10" si="95">BA13+BA19+BA28+BA49</f>
        <v>4462.333333</v>
      </c>
      <c r="BB10" s="44">
        <f t="shared" si="95"/>
        <v>4462.333333</v>
      </c>
      <c r="BC10" s="46">
        <f t="shared" si="96"/>
        <v>0</v>
      </c>
      <c r="BD10" s="16"/>
      <c r="BE10" s="43">
        <f t="shared" ref="BE10:BF10" si="97">BE13+BE19+BE28+BE49</f>
        <v>4077.333333</v>
      </c>
      <c r="BF10" s="44">
        <f t="shared" si="97"/>
        <v>4077.333333</v>
      </c>
      <c r="BG10" s="46">
        <f t="shared" si="98"/>
        <v>0</v>
      </c>
      <c r="BH10" s="43">
        <f t="shared" ref="BH10:BI10" si="99">BH13+BH19+BH28+BH49</f>
        <v>4196.333333</v>
      </c>
      <c r="BI10" s="44">
        <f t="shared" si="99"/>
        <v>4196.333333</v>
      </c>
      <c r="BJ10" s="46">
        <f t="shared" si="100"/>
        <v>0</v>
      </c>
      <c r="BK10" s="43">
        <f t="shared" ref="BK10:BL10" si="101">BK13+BK28+BK49</f>
        <v>0</v>
      </c>
      <c r="BL10" s="44">
        <f t="shared" si="101"/>
        <v>0</v>
      </c>
      <c r="BM10" s="46">
        <f t="shared" si="102"/>
        <v>0</v>
      </c>
    </row>
    <row r="11" ht="15.75" customHeight="1">
      <c r="B11" s="47"/>
      <c r="C11" s="48" t="s">
        <v>9</v>
      </c>
      <c r="D11" s="2"/>
      <c r="E11" s="49">
        <f t="shared" ref="E11:H11" si="103">IFERROR(E9/E10,0)</f>
        <v>42.14448445</v>
      </c>
      <c r="F11" s="50">
        <f t="shared" si="103"/>
        <v>98.4427691</v>
      </c>
      <c r="G11" s="50">
        <f t="shared" si="103"/>
        <v>60.9667733</v>
      </c>
      <c r="H11" s="51">
        <f t="shared" si="103"/>
        <v>88.85588131</v>
      </c>
      <c r="I11" s="31"/>
      <c r="J11" s="49" t="s">
        <v>7</v>
      </c>
      <c r="K11" s="50">
        <f>IFERROR(K9/K10,0)</f>
        <v>36.85202809</v>
      </c>
      <c r="L11" s="51" t="s">
        <v>7</v>
      </c>
      <c r="M11" s="49" t="s">
        <v>7</v>
      </c>
      <c r="N11" s="50">
        <f>IFERROR(N9/N10,0)</f>
        <v>35.72054878</v>
      </c>
      <c r="O11" s="51" t="s">
        <v>7</v>
      </c>
      <c r="P11" s="49" t="s">
        <v>7</v>
      </c>
      <c r="Q11" s="50">
        <f>IFERROR(Q9/Q10,0)</f>
        <v>53.45485232</v>
      </c>
      <c r="R11" s="51" t="s">
        <v>7</v>
      </c>
      <c r="S11" s="2"/>
      <c r="T11" s="49" t="s">
        <v>7</v>
      </c>
      <c r="U11" s="50">
        <f>IFERROR(U9/U10,0)</f>
        <v>102.2845068</v>
      </c>
      <c r="V11" s="51" t="s">
        <v>7</v>
      </c>
      <c r="W11" s="49" t="s">
        <v>7</v>
      </c>
      <c r="X11" s="50">
        <f>IFERROR(X9/X10,0)</f>
        <v>350.2809969</v>
      </c>
      <c r="Y11" s="51" t="s">
        <v>7</v>
      </c>
      <c r="Z11" s="49">
        <f t="shared" ref="Z11:AA11" si="104">IFERROR(Z9/Z10,0)</f>
        <v>76.11592689</v>
      </c>
      <c r="AA11" s="50">
        <f t="shared" si="104"/>
        <v>322.0700624</v>
      </c>
      <c r="AB11" s="52">
        <f t="shared" si="78"/>
        <v>3.231309734</v>
      </c>
      <c r="AC11" s="49">
        <f t="shared" ref="AC11:AD11" si="105">IFERROR(AC9/AC10,0)</f>
        <v>110.3091765</v>
      </c>
      <c r="AD11" s="50">
        <f t="shared" si="105"/>
        <v>96.60637435</v>
      </c>
      <c r="AE11" s="52">
        <f t="shared" si="80"/>
        <v>-0.1242217791</v>
      </c>
      <c r="AF11" s="49">
        <f t="shared" ref="AF11:AG11" si="106">IFERROR(AF9/AF10,0)</f>
        <v>100.7114107</v>
      </c>
      <c r="AG11" s="50">
        <f t="shared" si="106"/>
        <v>100.7114107</v>
      </c>
      <c r="AH11" s="52">
        <f t="shared" si="82"/>
        <v>0</v>
      </c>
      <c r="AI11" s="49">
        <f t="shared" ref="AI11:AJ11" si="107">IFERROR(AI9/AI10,0)</f>
        <v>104.5382903</v>
      </c>
      <c r="AJ11" s="50">
        <f t="shared" si="107"/>
        <v>104.5382903</v>
      </c>
      <c r="AK11" s="52">
        <f t="shared" si="84"/>
        <v>0</v>
      </c>
      <c r="AL11" s="49">
        <f t="shared" ref="AL11:AM11" si="108">IFERROR(AL9/AL10,0)</f>
        <v>100.7897537</v>
      </c>
      <c r="AM11" s="50">
        <f t="shared" si="108"/>
        <v>100.7897537</v>
      </c>
      <c r="AN11" s="52">
        <f t="shared" si="86"/>
        <v>0</v>
      </c>
      <c r="AO11" s="49">
        <f t="shared" ref="AO11:AP11" si="109">IFERROR(AO9/AO10,0)</f>
        <v>103.8571332</v>
      </c>
      <c r="AP11" s="50">
        <f t="shared" si="109"/>
        <v>103.8571332</v>
      </c>
      <c r="AQ11" s="52">
        <f t="shared" si="88"/>
        <v>0</v>
      </c>
      <c r="AR11" s="49">
        <f t="shared" ref="AR11:AS11" si="110">IFERROR(AR9/AR10,0)</f>
        <v>90.01618302</v>
      </c>
      <c r="AS11" s="50">
        <f t="shared" si="110"/>
        <v>90.01618302</v>
      </c>
      <c r="AT11" s="52">
        <f t="shared" si="90"/>
        <v>0</v>
      </c>
      <c r="AU11" s="49">
        <f t="shared" ref="AU11:AV11" si="111">IFERROR(AU9/AU10,0)</f>
        <v>87.87204494</v>
      </c>
      <c r="AV11" s="50">
        <f t="shared" si="111"/>
        <v>87.87204494</v>
      </c>
      <c r="AW11" s="52">
        <f t="shared" si="92"/>
        <v>0</v>
      </c>
      <c r="AX11" s="49">
        <f t="shared" ref="AX11:AY11" si="112">IFERROR(AX9/AX10,0)</f>
        <v>80.24645227</v>
      </c>
      <c r="AY11" s="50">
        <f t="shared" si="112"/>
        <v>80.24645227</v>
      </c>
      <c r="AZ11" s="52">
        <f t="shared" si="94"/>
        <v>0</v>
      </c>
      <c r="BA11" s="49">
        <f t="shared" ref="BA11:BB11" si="113">IFERROR(BA9/BA10,0)</f>
        <v>78.53806063</v>
      </c>
      <c r="BB11" s="50">
        <f t="shared" si="113"/>
        <v>78.53806063</v>
      </c>
      <c r="BC11" s="52">
        <f t="shared" si="96"/>
        <v>0</v>
      </c>
      <c r="BD11" s="31"/>
      <c r="BE11" s="49">
        <f t="shared" ref="BE11:BF11" si="114">IFERROR(BE9/BE10,0)</f>
        <v>61.85645356</v>
      </c>
      <c r="BF11" s="50">
        <f t="shared" si="114"/>
        <v>61.85645356</v>
      </c>
      <c r="BG11" s="52">
        <f t="shared" si="98"/>
        <v>0</v>
      </c>
      <c r="BH11" s="49">
        <f t="shared" ref="BH11:BI11" si="115">IFERROR(BH9/BH10,0)</f>
        <v>60.10232266</v>
      </c>
      <c r="BI11" s="50">
        <f t="shared" si="115"/>
        <v>60.10232266</v>
      </c>
      <c r="BJ11" s="52">
        <f t="shared" si="100"/>
        <v>0</v>
      </c>
      <c r="BK11" s="49">
        <f t="shared" ref="BK11:BL11" si="116">IFERROR(BK9/BK10,0)</f>
        <v>0</v>
      </c>
      <c r="BL11" s="50">
        <f t="shared" si="116"/>
        <v>0</v>
      </c>
      <c r="BM11" s="52">
        <f t="shared" si="102"/>
        <v>0</v>
      </c>
    </row>
    <row r="12" ht="15.75" customHeight="1" outlineLevel="1">
      <c r="A12" s="2"/>
      <c r="B12" s="53" t="s">
        <v>11</v>
      </c>
      <c r="C12" s="54" t="s">
        <v>6</v>
      </c>
      <c r="D12" s="2"/>
      <c r="E12" s="55">
        <f t="shared" ref="E12:E13" si="131">K12+N12+Q12</f>
        <v>65020.5</v>
      </c>
      <c r="F12" s="56">
        <f t="shared" ref="F12:G12" si="117">F15</f>
        <v>974111.86</v>
      </c>
      <c r="G12" s="56">
        <f t="shared" si="117"/>
        <v>187050.36</v>
      </c>
      <c r="H12" s="57">
        <f t="shared" ref="H12:H13" si="133">SUM(E12:G12)</f>
        <v>1226182.72</v>
      </c>
      <c r="I12" s="16"/>
      <c r="J12" s="55" t="s">
        <v>7</v>
      </c>
      <c r="K12" s="56">
        <f t="shared" ref="K12:K13" si="134">K15</f>
        <v>21855.04</v>
      </c>
      <c r="L12" s="57" t="s">
        <v>7</v>
      </c>
      <c r="M12" s="55" t="s">
        <v>7</v>
      </c>
      <c r="N12" s="56">
        <f t="shared" ref="N12:N13" si="135">N15</f>
        <v>21582.73</v>
      </c>
      <c r="O12" s="57" t="s">
        <v>7</v>
      </c>
      <c r="P12" s="55" t="s">
        <v>7</v>
      </c>
      <c r="Q12" s="56">
        <f t="shared" ref="Q12:Q13" si="136">Q15</f>
        <v>21582.73</v>
      </c>
      <c r="R12" s="57" t="s">
        <v>7</v>
      </c>
      <c r="S12" s="2"/>
      <c r="T12" s="55" t="s">
        <v>7</v>
      </c>
      <c r="U12" s="56">
        <f t="shared" ref="U12:U13" si="137">U15</f>
        <v>17635.17</v>
      </c>
      <c r="V12" s="57" t="s">
        <v>7</v>
      </c>
      <c r="W12" s="55" t="s">
        <v>7</v>
      </c>
      <c r="X12" s="56">
        <f t="shared" ref="X12:X13" si="138">X15</f>
        <v>44010.07</v>
      </c>
      <c r="Y12" s="57" t="s">
        <v>7</v>
      </c>
      <c r="Z12" s="55">
        <f t="shared" ref="Z12:AA12" si="118">Z15</f>
        <v>70000</v>
      </c>
      <c r="AA12" s="56">
        <f t="shared" si="118"/>
        <v>70740</v>
      </c>
      <c r="AB12" s="58">
        <f t="shared" si="78"/>
        <v>0.01057142857</v>
      </c>
      <c r="AC12" s="55">
        <f t="shared" ref="AC12:AD12" si="119">AC15</f>
        <v>93525.18</v>
      </c>
      <c r="AD12" s="56">
        <f t="shared" si="119"/>
        <v>93525.18</v>
      </c>
      <c r="AE12" s="58">
        <f t="shared" si="80"/>
        <v>0</v>
      </c>
      <c r="AF12" s="55">
        <f t="shared" ref="AF12:AG12" si="120">AF15</f>
        <v>93525.18</v>
      </c>
      <c r="AG12" s="56">
        <f t="shared" si="120"/>
        <v>93525.18</v>
      </c>
      <c r="AH12" s="58">
        <f t="shared" si="82"/>
        <v>0</v>
      </c>
      <c r="AI12" s="55">
        <f t="shared" ref="AI12:AJ12" si="121">AI15</f>
        <v>93525.18</v>
      </c>
      <c r="AJ12" s="56">
        <f t="shared" si="121"/>
        <v>93525.18</v>
      </c>
      <c r="AK12" s="58">
        <f t="shared" si="84"/>
        <v>0</v>
      </c>
      <c r="AL12" s="55">
        <f t="shared" ref="AL12:AM12" si="122">AL15</f>
        <v>93525.18</v>
      </c>
      <c r="AM12" s="56">
        <f t="shared" si="122"/>
        <v>93525.18</v>
      </c>
      <c r="AN12" s="58">
        <f t="shared" si="86"/>
        <v>0</v>
      </c>
      <c r="AO12" s="55">
        <f t="shared" ref="AO12:AP12" si="123">AO15</f>
        <v>93525.18</v>
      </c>
      <c r="AP12" s="56">
        <f t="shared" si="123"/>
        <v>93525.18</v>
      </c>
      <c r="AQ12" s="58">
        <f t="shared" si="88"/>
        <v>0</v>
      </c>
      <c r="AR12" s="55">
        <f t="shared" ref="AR12:AS12" si="124">AR15</f>
        <v>93525.18</v>
      </c>
      <c r="AS12" s="56">
        <f t="shared" si="124"/>
        <v>93525.18</v>
      </c>
      <c r="AT12" s="58">
        <f t="shared" si="90"/>
        <v>0</v>
      </c>
      <c r="AU12" s="55">
        <f t="shared" ref="AU12:AV12" si="125">AU15</f>
        <v>93525.18</v>
      </c>
      <c r="AV12" s="56">
        <f t="shared" si="125"/>
        <v>93525.18</v>
      </c>
      <c r="AW12" s="58">
        <f t="shared" si="92"/>
        <v>0</v>
      </c>
      <c r="AX12" s="55">
        <f t="shared" ref="AX12:AY12" si="126">AX15</f>
        <v>93525.18</v>
      </c>
      <c r="AY12" s="56">
        <f t="shared" si="126"/>
        <v>93525.18</v>
      </c>
      <c r="AZ12" s="58">
        <f t="shared" si="94"/>
        <v>0</v>
      </c>
      <c r="BA12" s="55">
        <f t="shared" ref="BA12:BB12" si="127">BA15</f>
        <v>93525.18</v>
      </c>
      <c r="BB12" s="56">
        <f t="shared" si="127"/>
        <v>93525.18</v>
      </c>
      <c r="BC12" s="58">
        <f t="shared" si="96"/>
        <v>0</v>
      </c>
      <c r="BD12" s="16"/>
      <c r="BE12" s="55">
        <f t="shared" ref="BE12:BF12" si="128">BE15</f>
        <v>93525.18</v>
      </c>
      <c r="BF12" s="56">
        <f t="shared" si="128"/>
        <v>93525.18</v>
      </c>
      <c r="BG12" s="58">
        <f t="shared" si="98"/>
        <v>0</v>
      </c>
      <c r="BH12" s="55">
        <f t="shared" ref="BH12:BI12" si="129">BH15</f>
        <v>93525.18</v>
      </c>
      <c r="BI12" s="56">
        <f t="shared" si="129"/>
        <v>93525.18</v>
      </c>
      <c r="BJ12" s="58">
        <f t="shared" si="100"/>
        <v>0</v>
      </c>
      <c r="BK12" s="55" t="str">
        <f t="shared" ref="BK12:BL12" si="130">BK15</f>
        <v/>
      </c>
      <c r="BL12" s="56" t="str">
        <f t="shared" si="130"/>
        <v/>
      </c>
      <c r="BM12" s="58">
        <f t="shared" si="102"/>
        <v>0</v>
      </c>
    </row>
    <row r="13" ht="15.75" customHeight="1" outlineLevel="1">
      <c r="A13" s="2"/>
      <c r="B13" s="20"/>
      <c r="C13" s="59" t="s">
        <v>8</v>
      </c>
      <c r="D13" s="2"/>
      <c r="E13" s="60">
        <f t="shared" si="131"/>
        <v>2196</v>
      </c>
      <c r="F13" s="61">
        <f t="shared" ref="F13:G13" si="132">F16</f>
        <v>13344</v>
      </c>
      <c r="G13" s="61">
        <f t="shared" si="132"/>
        <v>3855</v>
      </c>
      <c r="H13" s="62">
        <f t="shared" si="133"/>
        <v>19395</v>
      </c>
      <c r="I13" s="16"/>
      <c r="J13" s="60" t="s">
        <v>7</v>
      </c>
      <c r="K13" s="61">
        <f t="shared" si="134"/>
        <v>734</v>
      </c>
      <c r="L13" s="62" t="s">
        <v>7</v>
      </c>
      <c r="M13" s="60" t="s">
        <v>7</v>
      </c>
      <c r="N13" s="61">
        <f t="shared" si="135"/>
        <v>729</v>
      </c>
      <c r="O13" s="62" t="s">
        <v>7</v>
      </c>
      <c r="P13" s="60" t="s">
        <v>7</v>
      </c>
      <c r="Q13" s="61">
        <f t="shared" si="136"/>
        <v>733</v>
      </c>
      <c r="R13" s="62" t="s">
        <v>7</v>
      </c>
      <c r="S13" s="2"/>
      <c r="T13" s="60" t="s">
        <v>7</v>
      </c>
      <c r="U13" s="61">
        <f t="shared" si="137"/>
        <v>582</v>
      </c>
      <c r="V13" s="62" t="s">
        <v>7</v>
      </c>
      <c r="W13" s="60" t="s">
        <v>7</v>
      </c>
      <c r="X13" s="61">
        <f t="shared" si="138"/>
        <v>255</v>
      </c>
      <c r="Y13" s="62" t="s">
        <v>7</v>
      </c>
      <c r="Z13" s="60">
        <f t="shared" ref="Z13:AA13" si="139">Z16</f>
        <v>1026</v>
      </c>
      <c r="AA13" s="61">
        <f t="shared" si="139"/>
        <v>390</v>
      </c>
      <c r="AB13" s="63">
        <f t="shared" si="78"/>
        <v>-0.6198830409</v>
      </c>
      <c r="AC13" s="60">
        <f t="shared" ref="AC13:AD13" si="140">AC16</f>
        <v>1137</v>
      </c>
      <c r="AD13" s="61">
        <f t="shared" si="140"/>
        <v>1137</v>
      </c>
      <c r="AE13" s="63">
        <f t="shared" si="80"/>
        <v>0</v>
      </c>
      <c r="AF13" s="60">
        <f t="shared" ref="AF13:AG13" si="141">AF16</f>
        <v>1400</v>
      </c>
      <c r="AG13" s="61">
        <f t="shared" si="141"/>
        <v>1400</v>
      </c>
      <c r="AH13" s="63">
        <f t="shared" si="82"/>
        <v>0</v>
      </c>
      <c r="AI13" s="60">
        <f t="shared" ref="AI13:AJ13" si="142">AI16</f>
        <v>1258</v>
      </c>
      <c r="AJ13" s="61">
        <f t="shared" si="142"/>
        <v>1258</v>
      </c>
      <c r="AK13" s="63">
        <f t="shared" si="84"/>
        <v>0</v>
      </c>
      <c r="AL13" s="60">
        <f t="shared" ref="AL13:AM13" si="143">AL16</f>
        <v>1270</v>
      </c>
      <c r="AM13" s="61">
        <f t="shared" si="143"/>
        <v>1270</v>
      </c>
      <c r="AN13" s="63">
        <f t="shared" si="86"/>
        <v>0</v>
      </c>
      <c r="AO13" s="60">
        <f t="shared" ref="AO13:AP13" si="144">AO16</f>
        <v>1138</v>
      </c>
      <c r="AP13" s="61">
        <f t="shared" si="144"/>
        <v>1138</v>
      </c>
      <c r="AQ13" s="63">
        <f t="shared" si="88"/>
        <v>0</v>
      </c>
      <c r="AR13" s="60">
        <f t="shared" ref="AR13:AS13" si="145">AR16</f>
        <v>1194</v>
      </c>
      <c r="AS13" s="61">
        <f t="shared" si="145"/>
        <v>1194</v>
      </c>
      <c r="AT13" s="63">
        <f t="shared" si="90"/>
        <v>0</v>
      </c>
      <c r="AU13" s="60">
        <f t="shared" ref="AU13:AV13" si="146">AU16</f>
        <v>1289</v>
      </c>
      <c r="AV13" s="61">
        <f t="shared" si="146"/>
        <v>1289</v>
      </c>
      <c r="AW13" s="63">
        <f t="shared" si="92"/>
        <v>0</v>
      </c>
      <c r="AX13" s="60">
        <f t="shared" ref="AX13:AY13" si="147">AX16</f>
        <v>1668</v>
      </c>
      <c r="AY13" s="61">
        <f t="shared" si="147"/>
        <v>1668</v>
      </c>
      <c r="AZ13" s="63">
        <f t="shared" si="94"/>
        <v>0</v>
      </c>
      <c r="BA13" s="60">
        <f t="shared" ref="BA13:BB13" si="148">BA16</f>
        <v>1763</v>
      </c>
      <c r="BB13" s="61">
        <f t="shared" si="148"/>
        <v>1763</v>
      </c>
      <c r="BC13" s="63">
        <f t="shared" si="96"/>
        <v>0</v>
      </c>
      <c r="BD13" s="16"/>
      <c r="BE13" s="60">
        <f t="shared" ref="BE13:BF13" si="149">BE16</f>
        <v>1868</v>
      </c>
      <c r="BF13" s="61">
        <f t="shared" si="149"/>
        <v>1868</v>
      </c>
      <c r="BG13" s="63">
        <f t="shared" si="98"/>
        <v>0</v>
      </c>
      <c r="BH13" s="60">
        <f t="shared" ref="BH13:BI13" si="150">BH16</f>
        <v>1987</v>
      </c>
      <c r="BI13" s="61">
        <f t="shared" si="150"/>
        <v>1987</v>
      </c>
      <c r="BJ13" s="63">
        <f t="shared" si="100"/>
        <v>0</v>
      </c>
      <c r="BK13" s="60" t="str">
        <f t="shared" ref="BK13:BL13" si="151">BK16</f>
        <v/>
      </c>
      <c r="BL13" s="61" t="str">
        <f t="shared" si="151"/>
        <v/>
      </c>
      <c r="BM13" s="63">
        <f t="shared" si="102"/>
        <v>0</v>
      </c>
    </row>
    <row r="14" ht="15.75" customHeight="1" outlineLevel="1">
      <c r="A14" s="2"/>
      <c r="B14" s="26"/>
      <c r="C14" s="64" t="s">
        <v>9</v>
      </c>
      <c r="D14" s="2"/>
      <c r="E14" s="65">
        <f t="shared" ref="E14:H14" si="152">IFERROR(E12/E13,0)</f>
        <v>29.60860656</v>
      </c>
      <c r="F14" s="66">
        <f t="shared" si="152"/>
        <v>72.99998951</v>
      </c>
      <c r="G14" s="66">
        <f t="shared" si="152"/>
        <v>48.52149416</v>
      </c>
      <c r="H14" s="67">
        <f t="shared" si="152"/>
        <v>63.22158907</v>
      </c>
      <c r="I14" s="31"/>
      <c r="J14" s="65" t="s">
        <v>7</v>
      </c>
      <c r="K14" s="66">
        <f>IFERROR(K12/K13,0)</f>
        <v>29.77525886</v>
      </c>
      <c r="L14" s="67" t="s">
        <v>7</v>
      </c>
      <c r="M14" s="65" t="s">
        <v>7</v>
      </c>
      <c r="N14" s="66">
        <f>IFERROR(N12/N13,0)</f>
        <v>29.60593964</v>
      </c>
      <c r="O14" s="67" t="s">
        <v>7</v>
      </c>
      <c r="P14" s="65" t="s">
        <v>7</v>
      </c>
      <c r="Q14" s="66">
        <f>IFERROR(Q12/Q13,0)</f>
        <v>29.44437926</v>
      </c>
      <c r="R14" s="67" t="s">
        <v>7</v>
      </c>
      <c r="S14" s="2"/>
      <c r="T14" s="65" t="s">
        <v>7</v>
      </c>
      <c r="U14" s="66">
        <f>IFERROR(U12/U13,0)</f>
        <v>30.30097938</v>
      </c>
      <c r="V14" s="67" t="s">
        <v>7</v>
      </c>
      <c r="W14" s="65" t="s">
        <v>7</v>
      </c>
      <c r="X14" s="66">
        <f>IFERROR(X12/X13,0)</f>
        <v>172.5885098</v>
      </c>
      <c r="Y14" s="67" t="s">
        <v>7</v>
      </c>
      <c r="Z14" s="65">
        <f t="shared" ref="Z14:AA14" si="153">IFERROR(Z12/Z13,0)</f>
        <v>68.22612086</v>
      </c>
      <c r="AA14" s="66">
        <f t="shared" si="153"/>
        <v>181.3846154</v>
      </c>
      <c r="AB14" s="68">
        <f t="shared" si="78"/>
        <v>1.65858022</v>
      </c>
      <c r="AC14" s="65">
        <f t="shared" ref="AC14:AD14" si="154">IFERROR(AC12/AC13,0)</f>
        <v>82.25609499</v>
      </c>
      <c r="AD14" s="66">
        <f t="shared" si="154"/>
        <v>82.25609499</v>
      </c>
      <c r="AE14" s="68">
        <f t="shared" si="80"/>
        <v>0</v>
      </c>
      <c r="AF14" s="65">
        <f t="shared" ref="AF14:AG14" si="155">IFERROR(AF12/AF13,0)</f>
        <v>66.8037</v>
      </c>
      <c r="AG14" s="66">
        <f t="shared" si="155"/>
        <v>66.8037</v>
      </c>
      <c r="AH14" s="68">
        <f t="shared" si="82"/>
        <v>0</v>
      </c>
      <c r="AI14" s="65">
        <f t="shared" ref="AI14:AJ14" si="156">IFERROR(AI12/AI13,0)</f>
        <v>74.34434022</v>
      </c>
      <c r="AJ14" s="66">
        <f t="shared" si="156"/>
        <v>74.34434022</v>
      </c>
      <c r="AK14" s="68">
        <f t="shared" si="84"/>
        <v>0</v>
      </c>
      <c r="AL14" s="65">
        <f t="shared" ref="AL14:AM14" si="157">IFERROR(AL12/AL13,0)</f>
        <v>73.64187402</v>
      </c>
      <c r="AM14" s="66">
        <f t="shared" si="157"/>
        <v>73.64187402</v>
      </c>
      <c r="AN14" s="68">
        <f t="shared" si="86"/>
        <v>0</v>
      </c>
      <c r="AO14" s="65">
        <f t="shared" ref="AO14:AP14" si="158">IFERROR(AO12/AO13,0)</f>
        <v>82.18381371</v>
      </c>
      <c r="AP14" s="66">
        <f t="shared" si="158"/>
        <v>82.18381371</v>
      </c>
      <c r="AQ14" s="68">
        <f t="shared" si="88"/>
        <v>0</v>
      </c>
      <c r="AR14" s="65">
        <f t="shared" ref="AR14:AS14" si="159">IFERROR(AR12/AR13,0)</f>
        <v>78.32929648</v>
      </c>
      <c r="AS14" s="66">
        <f t="shared" si="159"/>
        <v>78.32929648</v>
      </c>
      <c r="AT14" s="68">
        <f t="shared" si="90"/>
        <v>0</v>
      </c>
      <c r="AU14" s="65">
        <f t="shared" ref="AU14:AV14" si="160">IFERROR(AU12/AU13,0)</f>
        <v>72.55638479</v>
      </c>
      <c r="AV14" s="66">
        <f t="shared" si="160"/>
        <v>72.55638479</v>
      </c>
      <c r="AW14" s="68">
        <f t="shared" si="92"/>
        <v>0</v>
      </c>
      <c r="AX14" s="65">
        <f t="shared" ref="AX14:AY14" si="161">IFERROR(AX12/AX13,0)</f>
        <v>56.0702518</v>
      </c>
      <c r="AY14" s="66">
        <f t="shared" si="161"/>
        <v>56.0702518</v>
      </c>
      <c r="AZ14" s="68">
        <f t="shared" si="94"/>
        <v>0</v>
      </c>
      <c r="BA14" s="65">
        <f t="shared" ref="BA14:BB14" si="162">IFERROR(BA12/BA13,0)</f>
        <v>53.04888259</v>
      </c>
      <c r="BB14" s="66">
        <f t="shared" si="162"/>
        <v>53.04888259</v>
      </c>
      <c r="BC14" s="68">
        <f t="shared" si="96"/>
        <v>0</v>
      </c>
      <c r="BD14" s="31"/>
      <c r="BE14" s="65">
        <f t="shared" ref="BE14:BF14" si="163">IFERROR(BE12/BE13,0)</f>
        <v>50.06701285</v>
      </c>
      <c r="BF14" s="66">
        <f t="shared" si="163"/>
        <v>50.06701285</v>
      </c>
      <c r="BG14" s="68">
        <f t="shared" si="98"/>
        <v>0</v>
      </c>
      <c r="BH14" s="65">
        <f t="shared" ref="BH14:BI14" si="164">IFERROR(BH12/BH13,0)</f>
        <v>47.06853548</v>
      </c>
      <c r="BI14" s="66">
        <f t="shared" si="164"/>
        <v>47.06853548</v>
      </c>
      <c r="BJ14" s="68">
        <f t="shared" si="100"/>
        <v>0</v>
      </c>
      <c r="BK14" s="65">
        <f t="shared" ref="BK14:BL14" si="165">IFERROR(BK12/BK13,0)</f>
        <v>0</v>
      </c>
      <c r="BL14" s="66">
        <f t="shared" si="165"/>
        <v>0</v>
      </c>
      <c r="BM14" s="68">
        <f t="shared" si="102"/>
        <v>0</v>
      </c>
    </row>
    <row r="15" ht="15.75" customHeight="1" outlineLevel="1">
      <c r="A15" s="69"/>
      <c r="B15" s="70" t="s">
        <v>12</v>
      </c>
      <c r="C15" s="71" t="s">
        <v>6</v>
      </c>
      <c r="D15" s="69"/>
      <c r="E15" s="72">
        <f t="shared" ref="E15:E16" si="166">K15+N15+Q15</f>
        <v>65020.5</v>
      </c>
      <c r="F15" s="73">
        <f t="shared" ref="F15:F16" si="167">U15+X15+AA15+AD15+AG15+AJ15+AM15+AP15+AS15+AV15+AY15+BB15</f>
        <v>974111.86</v>
      </c>
      <c r="G15" s="73">
        <f t="shared" ref="G15:G16" si="168">BF15+BI15+BL15</f>
        <v>187050.36</v>
      </c>
      <c r="H15" s="74">
        <f t="shared" ref="H15:H16" si="169">SUM(E15:G15)</f>
        <v>1226182.72</v>
      </c>
      <c r="I15" s="16"/>
      <c r="J15" s="72" t="s">
        <v>7</v>
      </c>
      <c r="K15" s="73">
        <v>21855.04</v>
      </c>
      <c r="L15" s="74" t="s">
        <v>7</v>
      </c>
      <c r="M15" s="72" t="s">
        <v>7</v>
      </c>
      <c r="N15" s="73">
        <v>21582.73</v>
      </c>
      <c r="O15" s="74" t="s">
        <v>7</v>
      </c>
      <c r="P15" s="72" t="s">
        <v>7</v>
      </c>
      <c r="Q15" s="73">
        <v>21582.73</v>
      </c>
      <c r="R15" s="74" t="s">
        <v>7</v>
      </c>
      <c r="S15" s="69"/>
      <c r="T15" s="72" t="s">
        <v>7</v>
      </c>
      <c r="U15" s="73">
        <v>17635.17</v>
      </c>
      <c r="V15" s="74" t="s">
        <v>7</v>
      </c>
      <c r="W15" s="72" t="s">
        <v>7</v>
      </c>
      <c r="X15" s="73">
        <v>44010.07</v>
      </c>
      <c r="Y15" s="74" t="s">
        <v>7</v>
      </c>
      <c r="Z15" s="75">
        <v>70000.0</v>
      </c>
      <c r="AA15" s="75">
        <v>70740.0</v>
      </c>
      <c r="AB15" s="76">
        <f t="shared" si="78"/>
        <v>0.01057142857</v>
      </c>
      <c r="AC15" s="72">
        <v>93525.18</v>
      </c>
      <c r="AD15" s="73">
        <v>93525.18</v>
      </c>
      <c r="AE15" s="76">
        <f t="shared" si="80"/>
        <v>0</v>
      </c>
      <c r="AF15" s="72">
        <v>93525.18</v>
      </c>
      <c r="AG15" s="73">
        <v>93525.18</v>
      </c>
      <c r="AH15" s="76">
        <f t="shared" si="82"/>
        <v>0</v>
      </c>
      <c r="AI15" s="72">
        <v>93525.18</v>
      </c>
      <c r="AJ15" s="73">
        <v>93525.18</v>
      </c>
      <c r="AK15" s="76">
        <f t="shared" si="84"/>
        <v>0</v>
      </c>
      <c r="AL15" s="72">
        <v>93525.18</v>
      </c>
      <c r="AM15" s="73">
        <v>93525.18</v>
      </c>
      <c r="AN15" s="76">
        <f t="shared" si="86"/>
        <v>0</v>
      </c>
      <c r="AO15" s="72">
        <v>93525.18</v>
      </c>
      <c r="AP15" s="73">
        <v>93525.18</v>
      </c>
      <c r="AQ15" s="76">
        <f t="shared" si="88"/>
        <v>0</v>
      </c>
      <c r="AR15" s="72">
        <v>93525.18</v>
      </c>
      <c r="AS15" s="73">
        <v>93525.18</v>
      </c>
      <c r="AT15" s="76">
        <f t="shared" si="90"/>
        <v>0</v>
      </c>
      <c r="AU15" s="72">
        <v>93525.18</v>
      </c>
      <c r="AV15" s="73">
        <v>93525.18</v>
      </c>
      <c r="AW15" s="76">
        <f t="shared" si="92"/>
        <v>0</v>
      </c>
      <c r="AX15" s="72">
        <v>93525.18</v>
      </c>
      <c r="AY15" s="73">
        <v>93525.18</v>
      </c>
      <c r="AZ15" s="76">
        <f t="shared" si="94"/>
        <v>0</v>
      </c>
      <c r="BA15" s="72">
        <v>93525.18</v>
      </c>
      <c r="BB15" s="73">
        <v>93525.18</v>
      </c>
      <c r="BC15" s="76">
        <f t="shared" si="96"/>
        <v>0</v>
      </c>
      <c r="BD15" s="16"/>
      <c r="BE15" s="72">
        <v>93525.18</v>
      </c>
      <c r="BF15" s="73">
        <v>93525.18</v>
      </c>
      <c r="BG15" s="76">
        <f t="shared" si="98"/>
        <v>0</v>
      </c>
      <c r="BH15" s="72">
        <v>93525.18</v>
      </c>
      <c r="BI15" s="73">
        <v>93525.18</v>
      </c>
      <c r="BJ15" s="76">
        <f t="shared" si="100"/>
        <v>0</v>
      </c>
      <c r="BK15" s="72"/>
      <c r="BL15" s="73"/>
      <c r="BM15" s="76">
        <f t="shared" si="102"/>
        <v>0</v>
      </c>
    </row>
    <row r="16" ht="15.75" customHeight="1" outlineLevel="1">
      <c r="A16" s="69"/>
      <c r="B16" s="20"/>
      <c r="C16" s="77" t="s">
        <v>8</v>
      </c>
      <c r="D16" s="69"/>
      <c r="E16" s="78">
        <f t="shared" si="166"/>
        <v>2196</v>
      </c>
      <c r="F16" s="79">
        <f t="shared" si="167"/>
        <v>13344</v>
      </c>
      <c r="G16" s="79">
        <f t="shared" si="168"/>
        <v>3855</v>
      </c>
      <c r="H16" s="80">
        <f t="shared" si="169"/>
        <v>19395</v>
      </c>
      <c r="I16" s="16"/>
      <c r="J16" s="78" t="s">
        <v>7</v>
      </c>
      <c r="K16" s="79">
        <v>734.0</v>
      </c>
      <c r="L16" s="80" t="s">
        <v>7</v>
      </c>
      <c r="M16" s="78" t="s">
        <v>7</v>
      </c>
      <c r="N16" s="79">
        <v>729.0</v>
      </c>
      <c r="O16" s="80" t="s">
        <v>7</v>
      </c>
      <c r="P16" s="78" t="s">
        <v>7</v>
      </c>
      <c r="Q16" s="79">
        <v>733.0</v>
      </c>
      <c r="R16" s="80" t="s">
        <v>7</v>
      </c>
      <c r="S16" s="69"/>
      <c r="T16" s="78" t="s">
        <v>7</v>
      </c>
      <c r="U16" s="79">
        <v>582.0</v>
      </c>
      <c r="V16" s="80" t="s">
        <v>7</v>
      </c>
      <c r="W16" s="78" t="s">
        <v>7</v>
      </c>
      <c r="X16" s="79">
        <v>255.0</v>
      </c>
      <c r="Y16" s="80" t="s">
        <v>7</v>
      </c>
      <c r="Z16" s="78">
        <v>1026.0</v>
      </c>
      <c r="AA16" s="81">
        <v>390.0</v>
      </c>
      <c r="AB16" s="82">
        <f t="shared" si="78"/>
        <v>-0.6198830409</v>
      </c>
      <c r="AC16" s="78">
        <v>1137.0</v>
      </c>
      <c r="AD16" s="79">
        <v>1137.0</v>
      </c>
      <c r="AE16" s="82">
        <f t="shared" si="80"/>
        <v>0</v>
      </c>
      <c r="AF16" s="83">
        <v>1400.0</v>
      </c>
      <c r="AG16" s="83">
        <v>1400.0</v>
      </c>
      <c r="AH16" s="82">
        <f t="shared" si="82"/>
        <v>0</v>
      </c>
      <c r="AI16" s="78">
        <v>1258.0</v>
      </c>
      <c r="AJ16" s="79">
        <v>1258.0</v>
      </c>
      <c r="AK16" s="82">
        <f t="shared" si="84"/>
        <v>0</v>
      </c>
      <c r="AL16" s="78">
        <v>1270.0</v>
      </c>
      <c r="AM16" s="79">
        <v>1270.0</v>
      </c>
      <c r="AN16" s="82">
        <f t="shared" si="86"/>
        <v>0</v>
      </c>
      <c r="AO16" s="78">
        <v>1138.0</v>
      </c>
      <c r="AP16" s="79">
        <v>1138.0</v>
      </c>
      <c r="AQ16" s="82">
        <f t="shared" si="88"/>
        <v>0</v>
      </c>
      <c r="AR16" s="79">
        <v>1194.0</v>
      </c>
      <c r="AS16" s="79">
        <v>1194.0</v>
      </c>
      <c r="AT16" s="82">
        <f t="shared" si="90"/>
        <v>0</v>
      </c>
      <c r="AU16" s="78">
        <v>1289.0</v>
      </c>
      <c r="AV16" s="79">
        <v>1289.0</v>
      </c>
      <c r="AW16" s="82">
        <f t="shared" si="92"/>
        <v>0</v>
      </c>
      <c r="AX16" s="78">
        <v>1668.0</v>
      </c>
      <c r="AY16" s="79">
        <v>1668.0</v>
      </c>
      <c r="AZ16" s="82">
        <f t="shared" si="94"/>
        <v>0</v>
      </c>
      <c r="BA16" s="78">
        <v>1763.0</v>
      </c>
      <c r="BB16" s="79">
        <v>1763.0</v>
      </c>
      <c r="BC16" s="82">
        <f t="shared" si="96"/>
        <v>0</v>
      </c>
      <c r="BD16" s="16"/>
      <c r="BE16" s="78">
        <v>1868.0</v>
      </c>
      <c r="BF16" s="79">
        <v>1868.0</v>
      </c>
      <c r="BG16" s="82">
        <f t="shared" si="98"/>
        <v>0</v>
      </c>
      <c r="BH16" s="78">
        <v>1987.0</v>
      </c>
      <c r="BI16" s="79">
        <v>1987.0</v>
      </c>
      <c r="BJ16" s="82">
        <f t="shared" si="100"/>
        <v>0</v>
      </c>
      <c r="BK16" s="78"/>
      <c r="BL16" s="79"/>
      <c r="BM16" s="82">
        <f t="shared" si="102"/>
        <v>0</v>
      </c>
    </row>
    <row r="17" ht="15.75" customHeight="1" outlineLevel="1">
      <c r="A17" s="84"/>
      <c r="B17" s="26"/>
      <c r="C17" s="85" t="s">
        <v>9</v>
      </c>
      <c r="D17" s="84"/>
      <c r="E17" s="86">
        <f t="shared" ref="E17:H17" si="170">IFERROR(E15/E16,0)</f>
        <v>29.60860656</v>
      </c>
      <c r="F17" s="87">
        <f t="shared" si="170"/>
        <v>72.99998951</v>
      </c>
      <c r="G17" s="87">
        <f t="shared" si="170"/>
        <v>48.52149416</v>
      </c>
      <c r="H17" s="88">
        <f t="shared" si="170"/>
        <v>63.22158907</v>
      </c>
      <c r="I17" s="31"/>
      <c r="J17" s="86" t="s">
        <v>7</v>
      </c>
      <c r="K17" s="87">
        <f>IFERROR(K15/K16,0)</f>
        <v>29.77525886</v>
      </c>
      <c r="L17" s="88" t="s">
        <v>7</v>
      </c>
      <c r="M17" s="86" t="s">
        <v>7</v>
      </c>
      <c r="N17" s="87">
        <f>IFERROR(N15/N16,0)</f>
        <v>29.60593964</v>
      </c>
      <c r="O17" s="88" t="s">
        <v>7</v>
      </c>
      <c r="P17" s="86" t="s">
        <v>7</v>
      </c>
      <c r="Q17" s="87">
        <f>IFERROR(Q15/Q16,0)</f>
        <v>29.44437926</v>
      </c>
      <c r="R17" s="88" t="s">
        <v>7</v>
      </c>
      <c r="S17" s="84"/>
      <c r="T17" s="86" t="s">
        <v>7</v>
      </c>
      <c r="U17" s="87">
        <f>IFERROR(U15/U16,0)</f>
        <v>30.30097938</v>
      </c>
      <c r="V17" s="88" t="s">
        <v>7</v>
      </c>
      <c r="W17" s="86" t="s">
        <v>7</v>
      </c>
      <c r="X17" s="87">
        <f>IFERROR(X15/X16,0)</f>
        <v>172.5885098</v>
      </c>
      <c r="Y17" s="88" t="s">
        <v>7</v>
      </c>
      <c r="Z17" s="86">
        <f t="shared" ref="Z17:AA17" si="171">IFERROR(Z15/Z16,0)</f>
        <v>68.22612086</v>
      </c>
      <c r="AA17" s="87">
        <f t="shared" si="171"/>
        <v>181.3846154</v>
      </c>
      <c r="AB17" s="89">
        <f t="shared" si="78"/>
        <v>1.65858022</v>
      </c>
      <c r="AC17" s="86">
        <f t="shared" ref="AC17:AD17" si="172">IFERROR(AC15/AC16,0)</f>
        <v>82.25609499</v>
      </c>
      <c r="AD17" s="87">
        <f t="shared" si="172"/>
        <v>82.25609499</v>
      </c>
      <c r="AE17" s="89">
        <f t="shared" si="80"/>
        <v>0</v>
      </c>
      <c r="AF17" s="86">
        <f t="shared" ref="AF17:AG17" si="173">IFERROR(AF15/AF16,0)</f>
        <v>66.8037</v>
      </c>
      <c r="AG17" s="87">
        <f t="shared" si="173"/>
        <v>66.8037</v>
      </c>
      <c r="AH17" s="89">
        <f t="shared" si="82"/>
        <v>0</v>
      </c>
      <c r="AI17" s="86">
        <f t="shared" ref="AI17:AJ17" si="174">IFERROR(AI15/AI16,0)</f>
        <v>74.34434022</v>
      </c>
      <c r="AJ17" s="87">
        <f t="shared" si="174"/>
        <v>74.34434022</v>
      </c>
      <c r="AK17" s="89">
        <f t="shared" si="84"/>
        <v>0</v>
      </c>
      <c r="AL17" s="86">
        <f t="shared" ref="AL17:AM17" si="175">IFERROR(AL15/AL16,0)</f>
        <v>73.64187402</v>
      </c>
      <c r="AM17" s="87">
        <f t="shared" si="175"/>
        <v>73.64187402</v>
      </c>
      <c r="AN17" s="89">
        <f t="shared" si="86"/>
        <v>0</v>
      </c>
      <c r="AO17" s="86">
        <f t="shared" ref="AO17:AP17" si="176">IFERROR(AO15/AO16,0)</f>
        <v>82.18381371</v>
      </c>
      <c r="AP17" s="87">
        <f t="shared" si="176"/>
        <v>82.18381371</v>
      </c>
      <c r="AQ17" s="89">
        <f t="shared" si="88"/>
        <v>0</v>
      </c>
      <c r="AR17" s="86">
        <f t="shared" ref="AR17:AS17" si="177">IFERROR(AR15/AR16,0)</f>
        <v>78.32929648</v>
      </c>
      <c r="AS17" s="87">
        <f t="shared" si="177"/>
        <v>78.32929648</v>
      </c>
      <c r="AT17" s="89">
        <f t="shared" si="90"/>
        <v>0</v>
      </c>
      <c r="AU17" s="86">
        <f t="shared" ref="AU17:AV17" si="178">IFERROR(AU15/AU16,0)</f>
        <v>72.55638479</v>
      </c>
      <c r="AV17" s="87">
        <f t="shared" si="178"/>
        <v>72.55638479</v>
      </c>
      <c r="AW17" s="89">
        <f t="shared" si="92"/>
        <v>0</v>
      </c>
      <c r="AX17" s="86">
        <f t="shared" ref="AX17:AY17" si="179">IFERROR(AX15/AX16,0)</f>
        <v>56.0702518</v>
      </c>
      <c r="AY17" s="87">
        <f t="shared" si="179"/>
        <v>56.0702518</v>
      </c>
      <c r="AZ17" s="89">
        <f t="shared" si="94"/>
        <v>0</v>
      </c>
      <c r="BA17" s="86">
        <f t="shared" ref="BA17:BB17" si="180">IFERROR(BA15/BA16,0)</f>
        <v>53.04888259</v>
      </c>
      <c r="BB17" s="87">
        <f t="shared" si="180"/>
        <v>53.04888259</v>
      </c>
      <c r="BC17" s="89">
        <f t="shared" si="96"/>
        <v>0</v>
      </c>
      <c r="BD17" s="31"/>
      <c r="BE17" s="86">
        <f t="shared" ref="BE17:BF17" si="181">IFERROR(BE15/BE16,0)</f>
        <v>50.06701285</v>
      </c>
      <c r="BF17" s="87">
        <f t="shared" si="181"/>
        <v>50.06701285</v>
      </c>
      <c r="BG17" s="89">
        <f t="shared" si="98"/>
        <v>0</v>
      </c>
      <c r="BH17" s="86">
        <f t="shared" ref="BH17:BI17" si="182">IFERROR(BH15/BH16,0)</f>
        <v>47.06853548</v>
      </c>
      <c r="BI17" s="87">
        <f t="shared" si="182"/>
        <v>47.06853548</v>
      </c>
      <c r="BJ17" s="89">
        <f t="shared" si="100"/>
        <v>0</v>
      </c>
      <c r="BK17" s="86">
        <f t="shared" ref="BK17:BL17" si="183">IFERROR(BK15/BK16,0)</f>
        <v>0</v>
      </c>
      <c r="BL17" s="87">
        <f t="shared" si="183"/>
        <v>0</v>
      </c>
      <c r="BM17" s="89">
        <f t="shared" si="102"/>
        <v>0</v>
      </c>
    </row>
    <row r="18" ht="15.75" customHeight="1" outlineLevel="1">
      <c r="A18" s="2"/>
      <c r="B18" s="53" t="s">
        <v>13</v>
      </c>
      <c r="C18" s="54" t="s">
        <v>6</v>
      </c>
      <c r="D18" s="2"/>
      <c r="E18" s="55">
        <f t="shared" ref="E18:G18" si="184">E24+E21</f>
        <v>0</v>
      </c>
      <c r="F18" s="56">
        <f t="shared" si="184"/>
        <v>1273747.304</v>
      </c>
      <c r="G18" s="56">
        <f t="shared" si="184"/>
        <v>0</v>
      </c>
      <c r="H18" s="57">
        <f t="shared" ref="H18:H19" si="199">SUM(E18:G18)</f>
        <v>1273747.304</v>
      </c>
      <c r="I18" s="16"/>
      <c r="J18" s="55" t="s">
        <v>7</v>
      </c>
      <c r="K18" s="56">
        <f t="shared" ref="K18:K19" si="200">K24+K21</f>
        <v>0</v>
      </c>
      <c r="L18" s="57" t="s">
        <v>7</v>
      </c>
      <c r="M18" s="55" t="s">
        <v>7</v>
      </c>
      <c r="N18" s="56">
        <f t="shared" ref="N18:N19" si="201">N24+N21</f>
        <v>0</v>
      </c>
      <c r="O18" s="57" t="s">
        <v>7</v>
      </c>
      <c r="P18" s="55" t="s">
        <v>7</v>
      </c>
      <c r="Q18" s="56">
        <f t="shared" ref="Q18:Q19" si="202">Q24+Q21</f>
        <v>0</v>
      </c>
      <c r="R18" s="57" t="s">
        <v>7</v>
      </c>
      <c r="S18" s="2"/>
      <c r="T18" s="55" t="s">
        <v>7</v>
      </c>
      <c r="U18" s="56">
        <f t="shared" ref="U18:U19" si="203">U24+U21</f>
        <v>0</v>
      </c>
      <c r="V18" s="57" t="s">
        <v>7</v>
      </c>
      <c r="W18" s="55" t="s">
        <v>7</v>
      </c>
      <c r="X18" s="56">
        <f t="shared" ref="X18:X19" si="204">X24+X21</f>
        <v>0</v>
      </c>
      <c r="Y18" s="57" t="s">
        <v>7</v>
      </c>
      <c r="Z18" s="55">
        <f t="shared" ref="Z18:AA18" si="185">Z24+Z21</f>
        <v>0</v>
      </c>
      <c r="AA18" s="56">
        <f t="shared" si="185"/>
        <v>0</v>
      </c>
      <c r="AB18" s="58">
        <f t="shared" si="78"/>
        <v>0</v>
      </c>
      <c r="AC18" s="55">
        <f t="shared" ref="AC18:AD18" si="186">AC24+AC21</f>
        <v>185978.518</v>
      </c>
      <c r="AD18" s="56">
        <f t="shared" si="186"/>
        <v>100000</v>
      </c>
      <c r="AE18" s="58">
        <f t="shared" si="80"/>
        <v>-0.4623034903</v>
      </c>
      <c r="AF18" s="55">
        <f t="shared" ref="AF18:AG18" si="187">AF24+AF21</f>
        <v>185971.9227</v>
      </c>
      <c r="AG18" s="56">
        <f t="shared" si="187"/>
        <v>185971.9227</v>
      </c>
      <c r="AH18" s="58">
        <f t="shared" si="82"/>
        <v>0</v>
      </c>
      <c r="AI18" s="55">
        <f t="shared" ref="AI18:AJ18" si="188">AI24+AI21</f>
        <v>198253.6259</v>
      </c>
      <c r="AJ18" s="56">
        <f t="shared" si="188"/>
        <v>198253.6259</v>
      </c>
      <c r="AK18" s="58">
        <f t="shared" si="84"/>
        <v>0</v>
      </c>
      <c r="AL18" s="55">
        <f t="shared" ref="AL18:AM18" si="189">AL24+AL21</f>
        <v>198253.6259</v>
      </c>
      <c r="AM18" s="56">
        <f t="shared" si="189"/>
        <v>198253.6259</v>
      </c>
      <c r="AN18" s="58">
        <f t="shared" si="86"/>
        <v>0</v>
      </c>
      <c r="AO18" s="55">
        <f t="shared" ref="AO18:AP18" si="190">AO24+AO21</f>
        <v>198253.6259</v>
      </c>
      <c r="AP18" s="56">
        <f t="shared" si="190"/>
        <v>198253.6259</v>
      </c>
      <c r="AQ18" s="58">
        <f t="shared" si="88"/>
        <v>0</v>
      </c>
      <c r="AR18" s="55">
        <f t="shared" ref="AR18:AS18" si="191">AR24+AR21</f>
        <v>98253.6259</v>
      </c>
      <c r="AS18" s="56">
        <f t="shared" si="191"/>
        <v>98253.6259</v>
      </c>
      <c r="AT18" s="58">
        <f t="shared" si="90"/>
        <v>0</v>
      </c>
      <c r="AU18" s="55">
        <f t="shared" ref="AU18:AV18" si="192">AU24+AU21</f>
        <v>98253.6259</v>
      </c>
      <c r="AV18" s="56">
        <f t="shared" si="192"/>
        <v>98253.6259</v>
      </c>
      <c r="AW18" s="58">
        <f t="shared" si="92"/>
        <v>0</v>
      </c>
      <c r="AX18" s="55">
        <f t="shared" ref="AX18:AY18" si="193">AX24+AX21</f>
        <v>98253.6259</v>
      </c>
      <c r="AY18" s="56">
        <f t="shared" si="193"/>
        <v>98253.6259</v>
      </c>
      <c r="AZ18" s="58">
        <f t="shared" si="94"/>
        <v>0</v>
      </c>
      <c r="BA18" s="55">
        <f t="shared" ref="BA18:BB18" si="194">BA24+BA21</f>
        <v>98253.6259</v>
      </c>
      <c r="BB18" s="56">
        <f t="shared" si="194"/>
        <v>98253.6259</v>
      </c>
      <c r="BC18" s="58">
        <f t="shared" si="96"/>
        <v>0</v>
      </c>
      <c r="BD18" s="16"/>
      <c r="BE18" s="55">
        <f t="shared" ref="BE18:BF18" si="195">BE24+BE21</f>
        <v>0</v>
      </c>
      <c r="BF18" s="56">
        <f t="shared" si="195"/>
        <v>0</v>
      </c>
      <c r="BG18" s="58">
        <f t="shared" si="98"/>
        <v>0</v>
      </c>
      <c r="BH18" s="55">
        <f t="shared" ref="BH18:BI18" si="196">BH24+BH21</f>
        <v>0</v>
      </c>
      <c r="BI18" s="56">
        <f t="shared" si="196"/>
        <v>0</v>
      </c>
      <c r="BJ18" s="58">
        <f t="shared" si="100"/>
        <v>0</v>
      </c>
      <c r="BK18" s="55">
        <f t="shared" ref="BK18:BL18" si="197">BK24+BK21</f>
        <v>0</v>
      </c>
      <c r="BL18" s="56">
        <f t="shared" si="197"/>
        <v>0</v>
      </c>
      <c r="BM18" s="58">
        <f t="shared" si="102"/>
        <v>0</v>
      </c>
    </row>
    <row r="19" ht="15.75" customHeight="1" outlineLevel="1">
      <c r="A19" s="2"/>
      <c r="B19" s="20"/>
      <c r="C19" s="59" t="s">
        <v>8</v>
      </c>
      <c r="D19" s="2"/>
      <c r="E19" s="60">
        <f t="shared" ref="E19:G19" si="198">E25+E22</f>
        <v>0</v>
      </c>
      <c r="F19" s="61">
        <f t="shared" si="198"/>
        <v>6359.89259</v>
      </c>
      <c r="G19" s="61">
        <f t="shared" si="198"/>
        <v>0</v>
      </c>
      <c r="H19" s="62">
        <f t="shared" si="199"/>
        <v>6359.89259</v>
      </c>
      <c r="I19" s="16"/>
      <c r="J19" s="60" t="s">
        <v>7</v>
      </c>
      <c r="K19" s="61">
        <f t="shared" si="200"/>
        <v>0</v>
      </c>
      <c r="L19" s="62" t="s">
        <v>7</v>
      </c>
      <c r="M19" s="60" t="s">
        <v>7</v>
      </c>
      <c r="N19" s="61">
        <f t="shared" si="201"/>
        <v>0</v>
      </c>
      <c r="O19" s="62" t="s">
        <v>7</v>
      </c>
      <c r="P19" s="60" t="s">
        <v>7</v>
      </c>
      <c r="Q19" s="61">
        <f t="shared" si="202"/>
        <v>0</v>
      </c>
      <c r="R19" s="62" t="s">
        <v>7</v>
      </c>
      <c r="S19" s="2"/>
      <c r="T19" s="60" t="s">
        <v>7</v>
      </c>
      <c r="U19" s="61">
        <f t="shared" si="203"/>
        <v>0</v>
      </c>
      <c r="V19" s="62" t="s">
        <v>7</v>
      </c>
      <c r="W19" s="60" t="s">
        <v>7</v>
      </c>
      <c r="X19" s="61">
        <f t="shared" si="204"/>
        <v>0</v>
      </c>
      <c r="Y19" s="62" t="s">
        <v>7</v>
      </c>
      <c r="Z19" s="60">
        <f t="shared" ref="Z19:AA19" si="205">Z25+Z22</f>
        <v>0</v>
      </c>
      <c r="AA19" s="61">
        <f t="shared" si="205"/>
        <v>0</v>
      </c>
      <c r="AB19" s="63">
        <f t="shared" si="78"/>
        <v>0</v>
      </c>
      <c r="AC19" s="60">
        <f t="shared" ref="AC19:AD19" si="206">AC25+AC22</f>
        <v>929.8925899</v>
      </c>
      <c r="AD19" s="61">
        <f t="shared" si="206"/>
        <v>500</v>
      </c>
      <c r="AE19" s="63">
        <f t="shared" si="80"/>
        <v>-0.4623034903</v>
      </c>
      <c r="AF19" s="60">
        <f t="shared" ref="AF19:AG19" si="207">AF25+AF22</f>
        <v>929.8925899</v>
      </c>
      <c r="AG19" s="61">
        <f t="shared" si="207"/>
        <v>929.8925899</v>
      </c>
      <c r="AH19" s="63">
        <f t="shared" si="82"/>
        <v>0</v>
      </c>
      <c r="AI19" s="60">
        <f t="shared" ref="AI19:AJ19" si="208">AI25+AI22</f>
        <v>990</v>
      </c>
      <c r="AJ19" s="61">
        <f t="shared" si="208"/>
        <v>990</v>
      </c>
      <c r="AK19" s="63">
        <f t="shared" si="84"/>
        <v>0</v>
      </c>
      <c r="AL19" s="60">
        <f t="shared" ref="AL19:AM19" si="209">AL25+AL22</f>
        <v>990</v>
      </c>
      <c r="AM19" s="61">
        <f t="shared" si="209"/>
        <v>990</v>
      </c>
      <c r="AN19" s="63">
        <f t="shared" si="86"/>
        <v>0</v>
      </c>
      <c r="AO19" s="60">
        <f t="shared" ref="AO19:AP19" si="210">AO25+AO22</f>
        <v>990</v>
      </c>
      <c r="AP19" s="61">
        <f t="shared" si="210"/>
        <v>990</v>
      </c>
      <c r="AQ19" s="63">
        <f t="shared" si="88"/>
        <v>0</v>
      </c>
      <c r="AR19" s="60">
        <f t="shared" ref="AR19:AS19" si="211">AR25+AR22</f>
        <v>490</v>
      </c>
      <c r="AS19" s="61">
        <f t="shared" si="211"/>
        <v>490</v>
      </c>
      <c r="AT19" s="63">
        <f t="shared" si="90"/>
        <v>0</v>
      </c>
      <c r="AU19" s="60">
        <f t="shared" ref="AU19:AV19" si="212">AU25+AU22</f>
        <v>490</v>
      </c>
      <c r="AV19" s="61">
        <f t="shared" si="212"/>
        <v>490</v>
      </c>
      <c r="AW19" s="63">
        <f t="shared" si="92"/>
        <v>0</v>
      </c>
      <c r="AX19" s="60">
        <f t="shared" ref="AX19:AY19" si="213">AX25+AX22</f>
        <v>490</v>
      </c>
      <c r="AY19" s="61">
        <f t="shared" si="213"/>
        <v>490</v>
      </c>
      <c r="AZ19" s="63">
        <f t="shared" si="94"/>
        <v>0</v>
      </c>
      <c r="BA19" s="60">
        <f t="shared" ref="BA19:BB19" si="214">BA25+BA22</f>
        <v>490</v>
      </c>
      <c r="BB19" s="61">
        <f t="shared" si="214"/>
        <v>490</v>
      </c>
      <c r="BC19" s="63">
        <f t="shared" si="96"/>
        <v>0</v>
      </c>
      <c r="BD19" s="16"/>
      <c r="BE19" s="60">
        <f t="shared" ref="BE19:BF19" si="215">BE25+BE22</f>
        <v>0</v>
      </c>
      <c r="BF19" s="61">
        <f t="shared" si="215"/>
        <v>0</v>
      </c>
      <c r="BG19" s="63">
        <f t="shared" si="98"/>
        <v>0</v>
      </c>
      <c r="BH19" s="60">
        <f t="shared" ref="BH19:BI19" si="216">BH25+BH22</f>
        <v>0</v>
      </c>
      <c r="BI19" s="61">
        <f t="shared" si="216"/>
        <v>0</v>
      </c>
      <c r="BJ19" s="63">
        <f t="shared" si="100"/>
        <v>0</v>
      </c>
      <c r="BK19" s="60" t="str">
        <f t="shared" ref="BK19:BL19" si="217">BK25</f>
        <v/>
      </c>
      <c r="BL19" s="61" t="str">
        <f t="shared" si="217"/>
        <v/>
      </c>
      <c r="BM19" s="63">
        <f t="shared" si="102"/>
        <v>0</v>
      </c>
    </row>
    <row r="20" ht="15.75" customHeight="1" outlineLevel="1">
      <c r="A20" s="2"/>
      <c r="B20" s="26"/>
      <c r="C20" s="64" t="s">
        <v>9</v>
      </c>
      <c r="D20" s="2"/>
      <c r="E20" s="65">
        <f t="shared" ref="E20:H20" si="218">IFERROR(E18/E19,0)</f>
        <v>0</v>
      </c>
      <c r="F20" s="66">
        <f t="shared" si="218"/>
        <v>200.2781157</v>
      </c>
      <c r="G20" s="66">
        <f t="shared" si="218"/>
        <v>0</v>
      </c>
      <c r="H20" s="67">
        <f t="shared" si="218"/>
        <v>200.2781157</v>
      </c>
      <c r="I20" s="31"/>
      <c r="J20" s="65" t="s">
        <v>7</v>
      </c>
      <c r="K20" s="66">
        <f>IFERROR(K18/K19,0)</f>
        <v>0</v>
      </c>
      <c r="L20" s="67" t="s">
        <v>7</v>
      </c>
      <c r="M20" s="65" t="s">
        <v>7</v>
      </c>
      <c r="N20" s="66">
        <f>IFERROR(N18/N19,0)</f>
        <v>0</v>
      </c>
      <c r="O20" s="67" t="s">
        <v>7</v>
      </c>
      <c r="P20" s="65" t="s">
        <v>7</v>
      </c>
      <c r="Q20" s="66">
        <f>IFERROR(Q18/Q19,0)</f>
        <v>0</v>
      </c>
      <c r="R20" s="67" t="s">
        <v>7</v>
      </c>
      <c r="S20" s="2"/>
      <c r="T20" s="65" t="s">
        <v>7</v>
      </c>
      <c r="U20" s="66">
        <f>IFERROR(U18/U19,0)</f>
        <v>0</v>
      </c>
      <c r="V20" s="67" t="s">
        <v>7</v>
      </c>
      <c r="W20" s="65" t="s">
        <v>7</v>
      </c>
      <c r="X20" s="66">
        <f>IFERROR(X18/X19,0)</f>
        <v>0</v>
      </c>
      <c r="Y20" s="67" t="s">
        <v>7</v>
      </c>
      <c r="Z20" s="65">
        <f t="shared" ref="Z20:AA20" si="219">IFERROR(Z18/Z19,0)</f>
        <v>0</v>
      </c>
      <c r="AA20" s="66">
        <f t="shared" si="219"/>
        <v>0</v>
      </c>
      <c r="AB20" s="68">
        <f t="shared" si="78"/>
        <v>0</v>
      </c>
      <c r="AC20" s="65">
        <f t="shared" ref="AC20:AD20" si="220">IFERROR(AC18/AC19,0)</f>
        <v>200</v>
      </c>
      <c r="AD20" s="66">
        <f t="shared" si="220"/>
        <v>200</v>
      </c>
      <c r="AE20" s="68">
        <f t="shared" si="80"/>
        <v>0</v>
      </c>
      <c r="AF20" s="65">
        <f t="shared" ref="AF20:AG20" si="221">IFERROR(AF18/AF19,0)</f>
        <v>199.9929074</v>
      </c>
      <c r="AG20" s="66">
        <f t="shared" si="221"/>
        <v>199.9929074</v>
      </c>
      <c r="AH20" s="68">
        <f t="shared" si="82"/>
        <v>0</v>
      </c>
      <c r="AI20" s="65">
        <f t="shared" ref="AI20:AJ20" si="222">IFERROR(AI18/AI19,0)</f>
        <v>200.2561878</v>
      </c>
      <c r="AJ20" s="66">
        <f t="shared" si="222"/>
        <v>200.2561878</v>
      </c>
      <c r="AK20" s="68">
        <f t="shared" si="84"/>
        <v>0</v>
      </c>
      <c r="AL20" s="65">
        <f t="shared" ref="AL20:AM20" si="223">IFERROR(AL18/AL19,0)</f>
        <v>200.2561878</v>
      </c>
      <c r="AM20" s="66">
        <f t="shared" si="223"/>
        <v>200.2561878</v>
      </c>
      <c r="AN20" s="68">
        <f t="shared" si="86"/>
        <v>0</v>
      </c>
      <c r="AO20" s="65">
        <f t="shared" ref="AO20:AP20" si="224">IFERROR(AO18/AO19,0)</f>
        <v>200.2561878</v>
      </c>
      <c r="AP20" s="66">
        <f t="shared" si="224"/>
        <v>200.2561878</v>
      </c>
      <c r="AQ20" s="68">
        <f t="shared" si="88"/>
        <v>0</v>
      </c>
      <c r="AR20" s="65">
        <f t="shared" ref="AR20:AS20" si="225">IFERROR(AR18/AR19,0)</f>
        <v>200.5176039</v>
      </c>
      <c r="AS20" s="66">
        <f t="shared" si="225"/>
        <v>200.5176039</v>
      </c>
      <c r="AT20" s="68">
        <f t="shared" si="90"/>
        <v>0</v>
      </c>
      <c r="AU20" s="65">
        <f t="shared" ref="AU20:AV20" si="226">IFERROR(AU18/AU19,0)</f>
        <v>200.5176039</v>
      </c>
      <c r="AV20" s="66">
        <f t="shared" si="226"/>
        <v>200.5176039</v>
      </c>
      <c r="AW20" s="68">
        <f t="shared" si="92"/>
        <v>0</v>
      </c>
      <c r="AX20" s="65">
        <f t="shared" ref="AX20:AY20" si="227">IFERROR(AX18/AX19,0)</f>
        <v>200.5176039</v>
      </c>
      <c r="AY20" s="66">
        <f t="shared" si="227"/>
        <v>200.5176039</v>
      </c>
      <c r="AZ20" s="68">
        <f t="shared" si="94"/>
        <v>0</v>
      </c>
      <c r="BA20" s="65">
        <f t="shared" ref="BA20:BB20" si="228">IFERROR(BA18/BA19,0)</f>
        <v>200.5176039</v>
      </c>
      <c r="BB20" s="66">
        <f t="shared" si="228"/>
        <v>200.5176039</v>
      </c>
      <c r="BC20" s="68">
        <f t="shared" si="96"/>
        <v>0</v>
      </c>
      <c r="BD20" s="31"/>
      <c r="BE20" s="65">
        <f t="shared" ref="BE20:BF20" si="229">IFERROR(BE18/BE19,0)</f>
        <v>0</v>
      </c>
      <c r="BF20" s="66">
        <f t="shared" si="229"/>
        <v>0</v>
      </c>
      <c r="BG20" s="68">
        <f t="shared" si="98"/>
        <v>0</v>
      </c>
      <c r="BH20" s="65">
        <f t="shared" ref="BH20:BI20" si="230">IFERROR(BH18/BH19,0)</f>
        <v>0</v>
      </c>
      <c r="BI20" s="66">
        <f t="shared" si="230"/>
        <v>0</v>
      </c>
      <c r="BJ20" s="68">
        <f t="shared" si="100"/>
        <v>0</v>
      </c>
      <c r="BK20" s="65">
        <f t="shared" ref="BK20:BL20" si="231">IFERROR(BK18/BK19,0)</f>
        <v>0</v>
      </c>
      <c r="BL20" s="66">
        <f t="shared" si="231"/>
        <v>0</v>
      </c>
      <c r="BM20" s="68">
        <f t="shared" si="102"/>
        <v>0</v>
      </c>
    </row>
    <row r="21" ht="15.75" customHeight="1" outlineLevel="1">
      <c r="A21" s="69"/>
      <c r="B21" s="90" t="s">
        <v>14</v>
      </c>
      <c r="C21" s="71" t="s">
        <v>6</v>
      </c>
      <c r="D21" s="69"/>
      <c r="E21" s="72">
        <f t="shared" ref="E21:E22" si="232">K21+N21+Q21</f>
        <v>0</v>
      </c>
      <c r="F21" s="73">
        <f t="shared" ref="F21:F22" si="233">U21+X21+AA21+AD21+AG21+AJ21+AM21+AP21+AS21+AV21+AY21+BB21</f>
        <v>500000</v>
      </c>
      <c r="G21" s="73">
        <f t="shared" ref="G21:G22" si="234">BF21+BI21+BL21</f>
        <v>0</v>
      </c>
      <c r="H21" s="74">
        <f t="shared" ref="H21:H22" si="235">SUM(E21:G21)</f>
        <v>500000</v>
      </c>
      <c r="I21" s="16"/>
      <c r="J21" s="72" t="s">
        <v>7</v>
      </c>
      <c r="K21" s="73"/>
      <c r="L21" s="74" t="s">
        <v>7</v>
      </c>
      <c r="M21" s="72" t="s">
        <v>7</v>
      </c>
      <c r="N21" s="73"/>
      <c r="O21" s="74" t="s">
        <v>7</v>
      </c>
      <c r="P21" s="72" t="s">
        <v>7</v>
      </c>
      <c r="Q21" s="73"/>
      <c r="R21" s="74" t="s">
        <v>7</v>
      </c>
      <c r="S21" s="69"/>
      <c r="T21" s="72" t="s">
        <v>7</v>
      </c>
      <c r="U21" s="73"/>
      <c r="V21" s="74" t="s">
        <v>7</v>
      </c>
      <c r="W21" s="72" t="s">
        <v>7</v>
      </c>
      <c r="X21" s="73"/>
      <c r="Y21" s="74" t="s">
        <v>7</v>
      </c>
      <c r="Z21" s="73"/>
      <c r="AA21" s="73"/>
      <c r="AB21" s="76">
        <f t="shared" si="78"/>
        <v>0</v>
      </c>
      <c r="AC21" s="73">
        <v>100000.0</v>
      </c>
      <c r="AD21" s="73">
        <v>100000.0</v>
      </c>
      <c r="AE21" s="76">
        <f t="shared" si="80"/>
        <v>0</v>
      </c>
      <c r="AF21" s="73">
        <v>100000.0</v>
      </c>
      <c r="AG21" s="73">
        <v>100000.0</v>
      </c>
      <c r="AH21" s="76">
        <f t="shared" si="82"/>
        <v>0</v>
      </c>
      <c r="AI21" s="73">
        <v>100000.0</v>
      </c>
      <c r="AJ21" s="73">
        <v>100000.0</v>
      </c>
      <c r="AK21" s="76">
        <f t="shared" si="84"/>
        <v>0</v>
      </c>
      <c r="AL21" s="73">
        <v>100000.0</v>
      </c>
      <c r="AM21" s="73">
        <v>100000.0</v>
      </c>
      <c r="AN21" s="76">
        <f t="shared" si="86"/>
        <v>0</v>
      </c>
      <c r="AO21" s="73">
        <v>100000.0</v>
      </c>
      <c r="AP21" s="73">
        <v>100000.0</v>
      </c>
      <c r="AQ21" s="76">
        <f t="shared" si="88"/>
        <v>0</v>
      </c>
      <c r="AR21" s="73"/>
      <c r="AS21" s="73"/>
      <c r="AT21" s="76">
        <f t="shared" si="90"/>
        <v>0</v>
      </c>
      <c r="AU21" s="73"/>
      <c r="AV21" s="73"/>
      <c r="AW21" s="76">
        <f t="shared" si="92"/>
        <v>0</v>
      </c>
      <c r="AX21" s="73"/>
      <c r="AY21" s="73"/>
      <c r="AZ21" s="76">
        <f t="shared" si="94"/>
        <v>0</v>
      </c>
      <c r="BA21" s="73"/>
      <c r="BB21" s="73"/>
      <c r="BC21" s="76">
        <f t="shared" si="96"/>
        <v>0</v>
      </c>
      <c r="BD21" s="16"/>
      <c r="BE21" s="73"/>
      <c r="BF21" s="73"/>
      <c r="BG21" s="76">
        <f t="shared" si="98"/>
        <v>0</v>
      </c>
      <c r="BH21" s="73"/>
      <c r="BI21" s="73"/>
      <c r="BJ21" s="76">
        <f t="shared" si="100"/>
        <v>0</v>
      </c>
      <c r="BK21" s="72"/>
      <c r="BL21" s="73"/>
      <c r="BM21" s="76">
        <f t="shared" si="102"/>
        <v>0</v>
      </c>
    </row>
    <row r="22" ht="15.75" customHeight="1" outlineLevel="1">
      <c r="A22" s="69"/>
      <c r="B22" s="20"/>
      <c r="C22" s="77" t="s">
        <v>8</v>
      </c>
      <c r="D22" s="69"/>
      <c r="E22" s="78">
        <f t="shared" si="232"/>
        <v>0</v>
      </c>
      <c r="F22" s="79">
        <f t="shared" si="233"/>
        <v>2500</v>
      </c>
      <c r="G22" s="79">
        <f t="shared" si="234"/>
        <v>0</v>
      </c>
      <c r="H22" s="80">
        <f t="shared" si="235"/>
        <v>2500</v>
      </c>
      <c r="I22" s="16"/>
      <c r="J22" s="78" t="s">
        <v>7</v>
      </c>
      <c r="K22" s="79"/>
      <c r="L22" s="80" t="s">
        <v>7</v>
      </c>
      <c r="M22" s="78" t="s">
        <v>7</v>
      </c>
      <c r="N22" s="79"/>
      <c r="O22" s="80" t="s">
        <v>7</v>
      </c>
      <c r="P22" s="78" t="s">
        <v>7</v>
      </c>
      <c r="Q22" s="79"/>
      <c r="R22" s="80" t="s">
        <v>7</v>
      </c>
      <c r="S22" s="69"/>
      <c r="T22" s="78" t="s">
        <v>7</v>
      </c>
      <c r="U22" s="79"/>
      <c r="V22" s="80" t="s">
        <v>7</v>
      </c>
      <c r="W22" s="78" t="s">
        <v>7</v>
      </c>
      <c r="X22" s="79"/>
      <c r="Y22" s="80" t="s">
        <v>7</v>
      </c>
      <c r="Z22" s="78"/>
      <c r="AA22" s="79"/>
      <c r="AB22" s="82">
        <f t="shared" si="78"/>
        <v>0</v>
      </c>
      <c r="AC22" s="78">
        <f t="shared" ref="AC22:AD22" si="236">AC21/200</f>
        <v>500</v>
      </c>
      <c r="AD22" s="79">
        <f t="shared" si="236"/>
        <v>500</v>
      </c>
      <c r="AE22" s="82">
        <f t="shared" si="80"/>
        <v>0</v>
      </c>
      <c r="AF22" s="78">
        <f t="shared" ref="AF22:AG22" si="237">AF21/200</f>
        <v>500</v>
      </c>
      <c r="AG22" s="79">
        <f t="shared" si="237"/>
        <v>500</v>
      </c>
      <c r="AH22" s="82">
        <f t="shared" si="82"/>
        <v>0</v>
      </c>
      <c r="AI22" s="78">
        <f t="shared" ref="AI22:AJ22" si="238">AI21/200</f>
        <v>500</v>
      </c>
      <c r="AJ22" s="79">
        <f t="shared" si="238"/>
        <v>500</v>
      </c>
      <c r="AK22" s="82">
        <f t="shared" si="84"/>
        <v>0</v>
      </c>
      <c r="AL22" s="78">
        <f t="shared" ref="AL22:AM22" si="239">AL21/200</f>
        <v>500</v>
      </c>
      <c r="AM22" s="79">
        <f t="shared" si="239"/>
        <v>500</v>
      </c>
      <c r="AN22" s="82">
        <f t="shared" si="86"/>
        <v>0</v>
      </c>
      <c r="AO22" s="78">
        <f t="shared" ref="AO22:AP22" si="240">AO21/200</f>
        <v>500</v>
      </c>
      <c r="AP22" s="79">
        <f t="shared" si="240"/>
        <v>500</v>
      </c>
      <c r="AQ22" s="82">
        <f t="shared" si="88"/>
        <v>0</v>
      </c>
      <c r="AR22" s="78">
        <f t="shared" ref="AR22:AS22" si="241">AR21/200</f>
        <v>0</v>
      </c>
      <c r="AS22" s="79">
        <f t="shared" si="241"/>
        <v>0</v>
      </c>
      <c r="AT22" s="82">
        <f t="shared" si="90"/>
        <v>0</v>
      </c>
      <c r="AU22" s="78">
        <f t="shared" ref="AU22:AV22" si="242">AU21/200</f>
        <v>0</v>
      </c>
      <c r="AV22" s="79">
        <f t="shared" si="242"/>
        <v>0</v>
      </c>
      <c r="AW22" s="82">
        <f t="shared" si="92"/>
        <v>0</v>
      </c>
      <c r="AX22" s="78">
        <f t="shared" ref="AX22:AY22" si="243">AX21/200</f>
        <v>0</v>
      </c>
      <c r="AY22" s="79">
        <f t="shared" si="243"/>
        <v>0</v>
      </c>
      <c r="AZ22" s="82">
        <f t="shared" si="94"/>
        <v>0</v>
      </c>
      <c r="BA22" s="78">
        <f t="shared" ref="BA22:BB22" si="244">BA21/200</f>
        <v>0</v>
      </c>
      <c r="BB22" s="79">
        <f t="shared" si="244"/>
        <v>0</v>
      </c>
      <c r="BC22" s="82">
        <f t="shared" si="96"/>
        <v>0</v>
      </c>
      <c r="BD22" s="16"/>
      <c r="BE22" s="78"/>
      <c r="BF22" s="79"/>
      <c r="BG22" s="82">
        <f t="shared" si="98"/>
        <v>0</v>
      </c>
      <c r="BH22" s="78"/>
      <c r="BI22" s="79"/>
      <c r="BJ22" s="82">
        <f t="shared" si="100"/>
        <v>0</v>
      </c>
      <c r="BK22" s="78"/>
      <c r="BL22" s="79"/>
      <c r="BM22" s="82">
        <f t="shared" si="102"/>
        <v>0</v>
      </c>
    </row>
    <row r="23" ht="15.75" customHeight="1" outlineLevel="1">
      <c r="A23" s="84"/>
      <c r="B23" s="26"/>
      <c r="C23" s="85" t="s">
        <v>9</v>
      </c>
      <c r="D23" s="84"/>
      <c r="E23" s="86">
        <f t="shared" ref="E23:H23" si="245">IFERROR(E21/E22,0)</f>
        <v>0</v>
      </c>
      <c r="F23" s="87">
        <f t="shared" si="245"/>
        <v>200</v>
      </c>
      <c r="G23" s="87">
        <f t="shared" si="245"/>
        <v>0</v>
      </c>
      <c r="H23" s="88">
        <f t="shared" si="245"/>
        <v>200</v>
      </c>
      <c r="I23" s="31"/>
      <c r="J23" s="86" t="s">
        <v>7</v>
      </c>
      <c r="K23" s="87">
        <f>IFERROR(K21/K22,0)</f>
        <v>0</v>
      </c>
      <c r="L23" s="88" t="s">
        <v>7</v>
      </c>
      <c r="M23" s="86" t="s">
        <v>7</v>
      </c>
      <c r="N23" s="87">
        <f>IFERROR(N21/N22,0)</f>
        <v>0</v>
      </c>
      <c r="O23" s="88" t="s">
        <v>7</v>
      </c>
      <c r="P23" s="86" t="s">
        <v>7</v>
      </c>
      <c r="Q23" s="87">
        <f>IFERROR(Q21/Q22,0)</f>
        <v>0</v>
      </c>
      <c r="R23" s="88" t="s">
        <v>7</v>
      </c>
      <c r="S23" s="84"/>
      <c r="T23" s="86" t="s">
        <v>7</v>
      </c>
      <c r="U23" s="87">
        <f>IFERROR(U21/U22,0)</f>
        <v>0</v>
      </c>
      <c r="V23" s="88" t="s">
        <v>7</v>
      </c>
      <c r="W23" s="86" t="s">
        <v>7</v>
      </c>
      <c r="X23" s="87">
        <f>IFERROR(X21/X22,0)</f>
        <v>0</v>
      </c>
      <c r="Y23" s="88" t="s">
        <v>7</v>
      </c>
      <c r="Z23" s="86">
        <f t="shared" ref="Z23:AA23" si="246">IFERROR(Z21/Z22,0)</f>
        <v>0</v>
      </c>
      <c r="AA23" s="87">
        <f t="shared" si="246"/>
        <v>0</v>
      </c>
      <c r="AB23" s="89">
        <f t="shared" si="78"/>
        <v>0</v>
      </c>
      <c r="AC23" s="86">
        <f t="shared" ref="AC23:AD23" si="247">IFERROR(AC21/AC22,0)</f>
        <v>200</v>
      </c>
      <c r="AD23" s="87">
        <f t="shared" si="247"/>
        <v>200</v>
      </c>
      <c r="AE23" s="89">
        <f t="shared" si="80"/>
        <v>0</v>
      </c>
      <c r="AF23" s="86">
        <f t="shared" ref="AF23:AG23" si="248">IFERROR(AF21/AF22,0)</f>
        <v>200</v>
      </c>
      <c r="AG23" s="87">
        <f t="shared" si="248"/>
        <v>200</v>
      </c>
      <c r="AH23" s="89">
        <f t="shared" si="82"/>
        <v>0</v>
      </c>
      <c r="AI23" s="86">
        <f t="shared" ref="AI23:AJ23" si="249">IFERROR(AI21/AI22,0)</f>
        <v>200</v>
      </c>
      <c r="AJ23" s="87">
        <f t="shared" si="249"/>
        <v>200</v>
      </c>
      <c r="AK23" s="89">
        <f t="shared" si="84"/>
        <v>0</v>
      </c>
      <c r="AL23" s="86">
        <f t="shared" ref="AL23:AM23" si="250">IFERROR(AL21/AL22,0)</f>
        <v>200</v>
      </c>
      <c r="AM23" s="87">
        <f t="shared" si="250"/>
        <v>200</v>
      </c>
      <c r="AN23" s="89">
        <f t="shared" si="86"/>
        <v>0</v>
      </c>
      <c r="AO23" s="86">
        <f t="shared" ref="AO23:AP23" si="251">IFERROR(AO21/AO22,0)</f>
        <v>200</v>
      </c>
      <c r="AP23" s="87">
        <f t="shared" si="251"/>
        <v>200</v>
      </c>
      <c r="AQ23" s="89">
        <f t="shared" si="88"/>
        <v>0</v>
      </c>
      <c r="AR23" s="86">
        <f t="shared" ref="AR23:AS23" si="252">IFERROR(AR21/AR22,0)</f>
        <v>0</v>
      </c>
      <c r="AS23" s="87">
        <f t="shared" si="252"/>
        <v>0</v>
      </c>
      <c r="AT23" s="89">
        <f t="shared" si="90"/>
        <v>0</v>
      </c>
      <c r="AU23" s="86">
        <f t="shared" ref="AU23:AV23" si="253">IFERROR(AU21/AU22,0)</f>
        <v>0</v>
      </c>
      <c r="AV23" s="87">
        <f t="shared" si="253"/>
        <v>0</v>
      </c>
      <c r="AW23" s="89">
        <f t="shared" si="92"/>
        <v>0</v>
      </c>
      <c r="AX23" s="86">
        <f t="shared" ref="AX23:AY23" si="254">IFERROR(AX21/AX22,0)</f>
        <v>0</v>
      </c>
      <c r="AY23" s="87">
        <f t="shared" si="254"/>
        <v>0</v>
      </c>
      <c r="AZ23" s="89">
        <f t="shared" si="94"/>
        <v>0</v>
      </c>
      <c r="BA23" s="86">
        <f t="shared" ref="BA23:BB23" si="255">IFERROR(BA21/BA22,0)</f>
        <v>0</v>
      </c>
      <c r="BB23" s="87">
        <f t="shared" si="255"/>
        <v>0</v>
      </c>
      <c r="BC23" s="89">
        <f t="shared" si="96"/>
        <v>0</v>
      </c>
      <c r="BD23" s="31"/>
      <c r="BE23" s="86">
        <f t="shared" ref="BE23:BF23" si="256">IFERROR(BE21/BE22,0)</f>
        <v>0</v>
      </c>
      <c r="BF23" s="87">
        <f t="shared" si="256"/>
        <v>0</v>
      </c>
      <c r="BG23" s="89">
        <f t="shared" si="98"/>
        <v>0</v>
      </c>
      <c r="BH23" s="86">
        <f t="shared" ref="BH23:BI23" si="257">IFERROR(BH21/BH22,0)</f>
        <v>0</v>
      </c>
      <c r="BI23" s="87">
        <f t="shared" si="257"/>
        <v>0</v>
      </c>
      <c r="BJ23" s="89">
        <f t="shared" si="100"/>
        <v>0</v>
      </c>
      <c r="BK23" s="86">
        <f t="shared" ref="BK23:BL23" si="258">IFERROR(BK21/BK22,0)</f>
        <v>0</v>
      </c>
      <c r="BL23" s="87">
        <f t="shared" si="258"/>
        <v>0</v>
      </c>
      <c r="BM23" s="89">
        <f t="shared" si="102"/>
        <v>0</v>
      </c>
    </row>
    <row r="24" ht="15.75" customHeight="1" outlineLevel="1">
      <c r="A24" s="69"/>
      <c r="B24" s="91" t="s">
        <v>15</v>
      </c>
      <c r="C24" s="71" t="s">
        <v>6</v>
      </c>
      <c r="D24" s="69"/>
      <c r="E24" s="72">
        <f t="shared" ref="E24:E25" si="259">K24+N24+Q24</f>
        <v>0</v>
      </c>
      <c r="F24" s="73">
        <f t="shared" ref="F24:F25" si="260">U24+X24+AA24+AD24+AG24+AJ24+AM24+AP24+AS24+AV24+AY24+BB24</f>
        <v>773747.304</v>
      </c>
      <c r="G24" s="73">
        <f t="shared" ref="G24:G25" si="261">BF24+BI24+BL24</f>
        <v>0</v>
      </c>
      <c r="H24" s="74">
        <f t="shared" ref="H24:H25" si="262">SUM(E24:G24)</f>
        <v>773747.304</v>
      </c>
      <c r="I24" s="16"/>
      <c r="J24" s="72" t="s">
        <v>7</v>
      </c>
      <c r="K24" s="73"/>
      <c r="L24" s="74" t="s">
        <v>7</v>
      </c>
      <c r="M24" s="72" t="s">
        <v>7</v>
      </c>
      <c r="N24" s="73"/>
      <c r="O24" s="74" t="s">
        <v>7</v>
      </c>
      <c r="P24" s="72" t="s">
        <v>7</v>
      </c>
      <c r="Q24" s="73"/>
      <c r="R24" s="74" t="s">
        <v>7</v>
      </c>
      <c r="S24" s="69"/>
      <c r="T24" s="72" t="s">
        <v>7</v>
      </c>
      <c r="U24" s="73"/>
      <c r="V24" s="74" t="s">
        <v>7</v>
      </c>
      <c r="W24" s="72" t="s">
        <v>7</v>
      </c>
      <c r="X24" s="73"/>
      <c r="Y24" s="74" t="s">
        <v>7</v>
      </c>
      <c r="Z24" s="73"/>
      <c r="AA24" s="73"/>
      <c r="AB24" s="76">
        <f t="shared" si="78"/>
        <v>0</v>
      </c>
      <c r="AC24" s="73">
        <v>85978.51798561151</v>
      </c>
      <c r="AD24" s="75">
        <v>0.0</v>
      </c>
      <c r="AE24" s="76">
        <f t="shared" si="80"/>
        <v>-1</v>
      </c>
      <c r="AF24" s="75">
        <v>85971.92266</v>
      </c>
      <c r="AG24" s="75">
        <v>85971.92266</v>
      </c>
      <c r="AH24" s="76">
        <f t="shared" si="82"/>
        <v>0</v>
      </c>
      <c r="AI24" s="75">
        <v>98253.6259</v>
      </c>
      <c r="AJ24" s="75">
        <v>98253.6259</v>
      </c>
      <c r="AK24" s="76">
        <f t="shared" si="84"/>
        <v>0</v>
      </c>
      <c r="AL24" s="75">
        <v>98253.6259</v>
      </c>
      <c r="AM24" s="75">
        <v>98253.6259</v>
      </c>
      <c r="AN24" s="76">
        <f t="shared" si="86"/>
        <v>0</v>
      </c>
      <c r="AO24" s="75">
        <v>98253.6259</v>
      </c>
      <c r="AP24" s="75">
        <v>98253.6259</v>
      </c>
      <c r="AQ24" s="76">
        <f t="shared" si="88"/>
        <v>0</v>
      </c>
      <c r="AR24" s="75">
        <v>98253.6259</v>
      </c>
      <c r="AS24" s="75">
        <v>98253.6259</v>
      </c>
      <c r="AT24" s="76">
        <f t="shared" si="90"/>
        <v>0</v>
      </c>
      <c r="AU24" s="75">
        <v>98253.6259</v>
      </c>
      <c r="AV24" s="75">
        <v>98253.6259</v>
      </c>
      <c r="AW24" s="76">
        <f t="shared" si="92"/>
        <v>0</v>
      </c>
      <c r="AX24" s="75">
        <v>98253.6259</v>
      </c>
      <c r="AY24" s="75">
        <v>98253.6259</v>
      </c>
      <c r="AZ24" s="76">
        <f t="shared" si="94"/>
        <v>0</v>
      </c>
      <c r="BA24" s="75">
        <v>98253.6259</v>
      </c>
      <c r="BB24" s="75">
        <v>98253.6259</v>
      </c>
      <c r="BC24" s="76">
        <f t="shared" si="96"/>
        <v>0</v>
      </c>
      <c r="BD24" s="16"/>
      <c r="BE24" s="73"/>
      <c r="BF24" s="73"/>
      <c r="BG24" s="76">
        <f t="shared" si="98"/>
        <v>0</v>
      </c>
      <c r="BH24" s="73"/>
      <c r="BI24" s="73"/>
      <c r="BJ24" s="76">
        <f t="shared" si="100"/>
        <v>0</v>
      </c>
      <c r="BK24" s="72"/>
      <c r="BL24" s="73"/>
      <c r="BM24" s="76">
        <f t="shared" si="102"/>
        <v>0</v>
      </c>
    </row>
    <row r="25" ht="15.75" customHeight="1" outlineLevel="1">
      <c r="A25" s="69"/>
      <c r="B25" s="20"/>
      <c r="C25" s="77" t="s">
        <v>8</v>
      </c>
      <c r="D25" s="69"/>
      <c r="E25" s="78">
        <f t="shared" si="259"/>
        <v>0</v>
      </c>
      <c r="F25" s="79">
        <f t="shared" si="260"/>
        <v>3859.89259</v>
      </c>
      <c r="G25" s="79">
        <f t="shared" si="261"/>
        <v>0</v>
      </c>
      <c r="H25" s="80">
        <f t="shared" si="262"/>
        <v>3859.89259</v>
      </c>
      <c r="I25" s="16"/>
      <c r="J25" s="78" t="s">
        <v>7</v>
      </c>
      <c r="K25" s="79"/>
      <c r="L25" s="80" t="s">
        <v>7</v>
      </c>
      <c r="M25" s="78" t="s">
        <v>7</v>
      </c>
      <c r="N25" s="79"/>
      <c r="O25" s="80" t="s">
        <v>7</v>
      </c>
      <c r="P25" s="78" t="s">
        <v>7</v>
      </c>
      <c r="Q25" s="79"/>
      <c r="R25" s="80" t="s">
        <v>7</v>
      </c>
      <c r="S25" s="69"/>
      <c r="T25" s="78" t="s">
        <v>7</v>
      </c>
      <c r="U25" s="79"/>
      <c r="V25" s="80" t="s">
        <v>7</v>
      </c>
      <c r="W25" s="78" t="s">
        <v>7</v>
      </c>
      <c r="X25" s="79"/>
      <c r="Y25" s="80" t="s">
        <v>7</v>
      </c>
      <c r="Z25" s="78"/>
      <c r="AA25" s="79"/>
      <c r="AB25" s="82">
        <f t="shared" si="78"/>
        <v>0</v>
      </c>
      <c r="AC25" s="92">
        <v>429.8925899280576</v>
      </c>
      <c r="AD25" s="92">
        <v>0.0</v>
      </c>
      <c r="AE25" s="82">
        <f t="shared" si="80"/>
        <v>-1</v>
      </c>
      <c r="AF25" s="92">
        <v>429.8925899280576</v>
      </c>
      <c r="AG25" s="92">
        <v>429.8925899280576</v>
      </c>
      <c r="AH25" s="82">
        <f t="shared" si="82"/>
        <v>0</v>
      </c>
      <c r="AI25" s="92">
        <v>490.0</v>
      </c>
      <c r="AJ25" s="92">
        <v>490.0</v>
      </c>
      <c r="AK25" s="82">
        <f t="shared" si="84"/>
        <v>0</v>
      </c>
      <c r="AL25" s="92">
        <v>490.0</v>
      </c>
      <c r="AM25" s="92">
        <v>490.0</v>
      </c>
      <c r="AN25" s="82">
        <f t="shared" si="86"/>
        <v>0</v>
      </c>
      <c r="AO25" s="92">
        <v>490.0</v>
      </c>
      <c r="AP25" s="92">
        <v>490.0</v>
      </c>
      <c r="AQ25" s="82">
        <f t="shared" si="88"/>
        <v>0</v>
      </c>
      <c r="AR25" s="92">
        <v>490.0</v>
      </c>
      <c r="AS25" s="92">
        <v>490.0</v>
      </c>
      <c r="AT25" s="82">
        <f t="shared" si="90"/>
        <v>0</v>
      </c>
      <c r="AU25" s="92">
        <v>490.0</v>
      </c>
      <c r="AV25" s="92">
        <v>490.0</v>
      </c>
      <c r="AW25" s="82">
        <f t="shared" si="92"/>
        <v>0</v>
      </c>
      <c r="AX25" s="92">
        <v>490.0</v>
      </c>
      <c r="AY25" s="92">
        <v>490.0</v>
      </c>
      <c r="AZ25" s="82">
        <f t="shared" si="94"/>
        <v>0</v>
      </c>
      <c r="BA25" s="92">
        <v>490.0</v>
      </c>
      <c r="BB25" s="92">
        <v>490.0</v>
      </c>
      <c r="BC25" s="82">
        <f t="shared" si="96"/>
        <v>0</v>
      </c>
      <c r="BD25" s="16"/>
      <c r="BE25" s="78"/>
      <c r="BF25" s="79"/>
      <c r="BG25" s="82">
        <f t="shared" si="98"/>
        <v>0</v>
      </c>
      <c r="BH25" s="78"/>
      <c r="BI25" s="79"/>
      <c r="BJ25" s="82">
        <f t="shared" si="100"/>
        <v>0</v>
      </c>
      <c r="BK25" s="78"/>
      <c r="BL25" s="79"/>
      <c r="BM25" s="82">
        <f t="shared" si="102"/>
        <v>0</v>
      </c>
    </row>
    <row r="26" ht="15.75" customHeight="1" outlineLevel="1">
      <c r="A26" s="84"/>
      <c r="B26" s="26"/>
      <c r="C26" s="85" t="s">
        <v>9</v>
      </c>
      <c r="D26" s="84"/>
      <c r="E26" s="86">
        <f t="shared" ref="E26:H26" si="263">IFERROR(E24/E25,0)</f>
        <v>0</v>
      </c>
      <c r="F26" s="87">
        <f t="shared" si="263"/>
        <v>200.4582475</v>
      </c>
      <c r="G26" s="87">
        <f t="shared" si="263"/>
        <v>0</v>
      </c>
      <c r="H26" s="88">
        <f t="shared" si="263"/>
        <v>200.4582475</v>
      </c>
      <c r="I26" s="31"/>
      <c r="J26" s="86" t="s">
        <v>7</v>
      </c>
      <c r="K26" s="87">
        <f>IFERROR(K24/K25,0)</f>
        <v>0</v>
      </c>
      <c r="L26" s="88" t="s">
        <v>7</v>
      </c>
      <c r="M26" s="86" t="s">
        <v>7</v>
      </c>
      <c r="N26" s="87">
        <f>IFERROR(N24/N25,0)</f>
        <v>0</v>
      </c>
      <c r="O26" s="88" t="s">
        <v>7</v>
      </c>
      <c r="P26" s="86" t="s">
        <v>7</v>
      </c>
      <c r="Q26" s="87">
        <f>IFERROR(Q24/Q25,0)</f>
        <v>0</v>
      </c>
      <c r="R26" s="88" t="s">
        <v>7</v>
      </c>
      <c r="S26" s="84"/>
      <c r="T26" s="86" t="s">
        <v>7</v>
      </c>
      <c r="U26" s="87">
        <f>IFERROR(U24/U25,0)</f>
        <v>0</v>
      </c>
      <c r="V26" s="88" t="s">
        <v>7</v>
      </c>
      <c r="W26" s="86" t="s">
        <v>7</v>
      </c>
      <c r="X26" s="87">
        <f>IFERROR(X24/X25,0)</f>
        <v>0</v>
      </c>
      <c r="Y26" s="88" t="s">
        <v>7</v>
      </c>
      <c r="Z26" s="86">
        <f t="shared" ref="Z26:AA26" si="264">IFERROR(Z24/Z25,0)</f>
        <v>0</v>
      </c>
      <c r="AA26" s="87">
        <f t="shared" si="264"/>
        <v>0</v>
      </c>
      <c r="AB26" s="89">
        <f t="shared" si="78"/>
        <v>0</v>
      </c>
      <c r="AC26" s="86">
        <f t="shared" ref="AC26:AD26" si="265">IFERROR(AC24/AC25,0)</f>
        <v>200</v>
      </c>
      <c r="AD26" s="87">
        <f t="shared" si="265"/>
        <v>0</v>
      </c>
      <c r="AE26" s="89">
        <f t="shared" si="80"/>
        <v>-1</v>
      </c>
      <c r="AF26" s="86">
        <f t="shared" ref="AF26:AG26" si="266">IFERROR(AF24/AF25,0)</f>
        <v>199.9846582</v>
      </c>
      <c r="AG26" s="87">
        <f t="shared" si="266"/>
        <v>199.9846582</v>
      </c>
      <c r="AH26" s="89">
        <f t="shared" si="82"/>
        <v>0</v>
      </c>
      <c r="AI26" s="86">
        <f t="shared" ref="AI26:AJ26" si="267">IFERROR(AI24/AI25,0)</f>
        <v>200.5176039</v>
      </c>
      <c r="AJ26" s="87">
        <f t="shared" si="267"/>
        <v>200.5176039</v>
      </c>
      <c r="AK26" s="89">
        <f t="shared" si="84"/>
        <v>0</v>
      </c>
      <c r="AL26" s="86">
        <f t="shared" ref="AL26:AM26" si="268">IFERROR(AL24/AL25,0)</f>
        <v>200.5176039</v>
      </c>
      <c r="AM26" s="87">
        <f t="shared" si="268"/>
        <v>200.5176039</v>
      </c>
      <c r="AN26" s="89">
        <f t="shared" si="86"/>
        <v>0</v>
      </c>
      <c r="AO26" s="86">
        <f t="shared" ref="AO26:AP26" si="269">IFERROR(AO24/AO25,0)</f>
        <v>200.5176039</v>
      </c>
      <c r="AP26" s="87">
        <f t="shared" si="269"/>
        <v>200.5176039</v>
      </c>
      <c r="AQ26" s="89">
        <f t="shared" si="88"/>
        <v>0</v>
      </c>
      <c r="AR26" s="86">
        <f t="shared" ref="AR26:AS26" si="270">IFERROR(AR24/AR25,0)</f>
        <v>200.5176039</v>
      </c>
      <c r="AS26" s="87">
        <f t="shared" si="270"/>
        <v>200.5176039</v>
      </c>
      <c r="AT26" s="89">
        <f t="shared" si="90"/>
        <v>0</v>
      </c>
      <c r="AU26" s="86">
        <f t="shared" ref="AU26:AV26" si="271">IFERROR(AU24/AU25,0)</f>
        <v>200.5176039</v>
      </c>
      <c r="AV26" s="87">
        <f t="shared" si="271"/>
        <v>200.5176039</v>
      </c>
      <c r="AW26" s="89">
        <f t="shared" si="92"/>
        <v>0</v>
      </c>
      <c r="AX26" s="86">
        <f t="shared" ref="AX26:AY26" si="272">IFERROR(AX24/AX25,0)</f>
        <v>200.5176039</v>
      </c>
      <c r="AY26" s="87">
        <f t="shared" si="272"/>
        <v>200.5176039</v>
      </c>
      <c r="AZ26" s="89">
        <f t="shared" si="94"/>
        <v>0</v>
      </c>
      <c r="BA26" s="86">
        <f t="shared" ref="BA26:BB26" si="273">IFERROR(BA24/BA25,0)</f>
        <v>200.5176039</v>
      </c>
      <c r="BB26" s="87">
        <f t="shared" si="273"/>
        <v>200.5176039</v>
      </c>
      <c r="BC26" s="89">
        <f t="shared" si="96"/>
        <v>0</v>
      </c>
      <c r="BD26" s="31"/>
      <c r="BE26" s="86">
        <f t="shared" ref="BE26:BF26" si="274">IFERROR(BE24/BE25,0)</f>
        <v>0</v>
      </c>
      <c r="BF26" s="87">
        <f t="shared" si="274"/>
        <v>0</v>
      </c>
      <c r="BG26" s="89">
        <f t="shared" si="98"/>
        <v>0</v>
      </c>
      <c r="BH26" s="86">
        <f t="shared" ref="BH26:BI26" si="275">IFERROR(BH24/BH25,0)</f>
        <v>0</v>
      </c>
      <c r="BI26" s="87">
        <f t="shared" si="275"/>
        <v>0</v>
      </c>
      <c r="BJ26" s="89">
        <f t="shared" si="100"/>
        <v>0</v>
      </c>
      <c r="BK26" s="86">
        <f t="shared" ref="BK26:BL26" si="276">IFERROR(BK24/BK25,0)</f>
        <v>0</v>
      </c>
      <c r="BL26" s="87">
        <f t="shared" si="276"/>
        <v>0</v>
      </c>
      <c r="BM26" s="89">
        <f t="shared" si="102"/>
        <v>0</v>
      </c>
    </row>
    <row r="27" ht="15.75" customHeight="1" outlineLevel="1">
      <c r="A27" s="2"/>
      <c r="B27" s="53" t="s">
        <v>16</v>
      </c>
      <c r="C27" s="54" t="s">
        <v>6</v>
      </c>
      <c r="D27" s="2"/>
      <c r="E27" s="56">
        <f t="shared" ref="E27:H27" si="277">E30+E33+E39+E36+E42+E45</f>
        <v>81305.15</v>
      </c>
      <c r="F27" s="56">
        <f t="shared" si="277"/>
        <v>1487803.71</v>
      </c>
      <c r="G27" s="56">
        <f t="shared" si="277"/>
        <v>290000</v>
      </c>
      <c r="H27" s="56">
        <f t="shared" si="277"/>
        <v>1859108.86</v>
      </c>
      <c r="I27" s="16"/>
      <c r="J27" s="55" t="s">
        <v>7</v>
      </c>
      <c r="K27" s="56">
        <f t="shared" ref="K27:K28" si="292">K30+K33+K39+K36+K42+K45</f>
        <v>20119.42</v>
      </c>
      <c r="L27" s="57" t="s">
        <v>7</v>
      </c>
      <c r="M27" s="55" t="s">
        <v>7</v>
      </c>
      <c r="N27" s="56">
        <f t="shared" ref="N27:N28" si="293">N30+N33+N39+N36+N42+N45</f>
        <v>19424.46</v>
      </c>
      <c r="O27" s="57" t="s">
        <v>7</v>
      </c>
      <c r="P27" s="55" t="s">
        <v>7</v>
      </c>
      <c r="Q27" s="56">
        <f t="shared" ref="Q27:Q28" si="294">Q30+Q33+Q39+Q36+Q42+Q45</f>
        <v>41761.27</v>
      </c>
      <c r="R27" s="57" t="s">
        <v>7</v>
      </c>
      <c r="S27" s="2"/>
      <c r="T27" s="55" t="s">
        <v>7</v>
      </c>
      <c r="U27" s="56">
        <f t="shared" ref="U27:U28" si="295">U30+U33+U39+U36+U42+U45</f>
        <v>42508.12</v>
      </c>
      <c r="V27" s="57" t="s">
        <v>7</v>
      </c>
      <c r="W27" s="55" t="s">
        <v>7</v>
      </c>
      <c r="X27" s="56">
        <f t="shared" ref="X27:X28" si="296">X30+X33+X39+X36+X42+X45</f>
        <v>55634.59</v>
      </c>
      <c r="Y27" s="57" t="s">
        <v>7</v>
      </c>
      <c r="Z27" s="56">
        <f t="shared" ref="Z27:AA27" si="278">Z30+Z33+Z39+Z36+Z42+Z45</f>
        <v>104891</v>
      </c>
      <c r="AA27" s="56">
        <f t="shared" si="278"/>
        <v>84661</v>
      </c>
      <c r="AB27" s="58">
        <f t="shared" si="78"/>
        <v>-0.1928668809</v>
      </c>
      <c r="AC27" s="56">
        <f t="shared" ref="AC27:AD27" si="279">AC30+AC33+AC39+AC36+AC42+AC45</f>
        <v>145000</v>
      </c>
      <c r="AD27" s="56">
        <f t="shared" si="279"/>
        <v>145000</v>
      </c>
      <c r="AE27" s="58">
        <f t="shared" si="80"/>
        <v>0</v>
      </c>
      <c r="AF27" s="56">
        <f t="shared" ref="AF27:AG27" si="280">AF30+AF33+AF39+AF36+AF42+AF45</f>
        <v>145000</v>
      </c>
      <c r="AG27" s="56">
        <f t="shared" si="280"/>
        <v>145000</v>
      </c>
      <c r="AH27" s="58">
        <f t="shared" si="82"/>
        <v>0</v>
      </c>
      <c r="AI27" s="56">
        <f t="shared" ref="AI27:AJ27" si="281">AI30+AI33+AI39+AI36+AI42+AI45</f>
        <v>145000</v>
      </c>
      <c r="AJ27" s="56">
        <f t="shared" si="281"/>
        <v>145000</v>
      </c>
      <c r="AK27" s="58">
        <f t="shared" si="84"/>
        <v>0</v>
      </c>
      <c r="AL27" s="56">
        <f t="shared" ref="AL27:AM27" si="282">AL30+AL33+AL39+AL36+AL42+AL45</f>
        <v>145000</v>
      </c>
      <c r="AM27" s="56">
        <f t="shared" si="282"/>
        <v>145000</v>
      </c>
      <c r="AN27" s="58">
        <f t="shared" si="86"/>
        <v>0</v>
      </c>
      <c r="AO27" s="56">
        <f t="shared" ref="AO27:AP27" si="283">AO30+AO33+AO39+AO36+AO42+AO45</f>
        <v>145000</v>
      </c>
      <c r="AP27" s="56">
        <f t="shared" si="283"/>
        <v>145000</v>
      </c>
      <c r="AQ27" s="58">
        <f t="shared" si="88"/>
        <v>0</v>
      </c>
      <c r="AR27" s="56">
        <f t="shared" ref="AR27:AS27" si="284">AR30+AR33+AR39+AR36+AR42+AR45</f>
        <v>145000</v>
      </c>
      <c r="AS27" s="56">
        <f t="shared" si="284"/>
        <v>145000</v>
      </c>
      <c r="AT27" s="58">
        <f t="shared" si="90"/>
        <v>0</v>
      </c>
      <c r="AU27" s="56">
        <f t="shared" ref="AU27:AV27" si="285">AU30+AU33+AU39+AU36+AU42+AU45</f>
        <v>145000</v>
      </c>
      <c r="AV27" s="56">
        <f t="shared" si="285"/>
        <v>145000</v>
      </c>
      <c r="AW27" s="58">
        <f t="shared" si="92"/>
        <v>0</v>
      </c>
      <c r="AX27" s="56">
        <f t="shared" ref="AX27:AY27" si="286">AX30+AX33+AX39+AX36+AX42+AX45</f>
        <v>145000</v>
      </c>
      <c r="AY27" s="56">
        <f t="shared" si="286"/>
        <v>145000</v>
      </c>
      <c r="AZ27" s="58">
        <f t="shared" si="94"/>
        <v>0</v>
      </c>
      <c r="BA27" s="56">
        <f t="shared" ref="BA27:BB27" si="287">BA30+BA33+BA39+BA36+BA42+BA45</f>
        <v>145000</v>
      </c>
      <c r="BB27" s="56">
        <f t="shared" si="287"/>
        <v>145000</v>
      </c>
      <c r="BC27" s="58">
        <f t="shared" si="96"/>
        <v>0</v>
      </c>
      <c r="BD27" s="16"/>
      <c r="BE27" s="56">
        <f t="shared" ref="BE27:BF27" si="288">BE30+BE33+BE39+BE36+BE42+BE45</f>
        <v>145000</v>
      </c>
      <c r="BF27" s="56">
        <f t="shared" si="288"/>
        <v>145000</v>
      </c>
      <c r="BG27" s="58">
        <f t="shared" si="98"/>
        <v>0</v>
      </c>
      <c r="BH27" s="56">
        <f t="shared" ref="BH27:BI27" si="289">BH30+BH33+BH39+BH36+BH42+BH45</f>
        <v>145000</v>
      </c>
      <c r="BI27" s="56">
        <f t="shared" si="289"/>
        <v>145000</v>
      </c>
      <c r="BJ27" s="58">
        <f t="shared" si="100"/>
        <v>0</v>
      </c>
      <c r="BK27" s="56">
        <f t="shared" ref="BK27:BL27" si="290">BK30+BK33+BK39+BK36+BK42+BK45</f>
        <v>0</v>
      </c>
      <c r="BL27" s="56">
        <f t="shared" si="290"/>
        <v>0</v>
      </c>
      <c r="BM27" s="58">
        <f t="shared" si="102"/>
        <v>0</v>
      </c>
    </row>
    <row r="28" ht="15.75" customHeight="1" outlineLevel="1">
      <c r="A28" s="2"/>
      <c r="B28" s="20"/>
      <c r="C28" s="59" t="s">
        <v>8</v>
      </c>
      <c r="D28" s="2"/>
      <c r="E28" s="61">
        <f t="shared" ref="E28:H28" si="291">E31+E34+E40+E37+E43+E46</f>
        <v>1276</v>
      </c>
      <c r="F28" s="61">
        <f t="shared" si="291"/>
        <v>19131</v>
      </c>
      <c r="G28" s="61">
        <f t="shared" si="291"/>
        <v>4164.666667</v>
      </c>
      <c r="H28" s="61">
        <f t="shared" si="291"/>
        <v>24571.66667</v>
      </c>
      <c r="I28" s="16"/>
      <c r="J28" s="60" t="s">
        <v>7</v>
      </c>
      <c r="K28" s="61">
        <f t="shared" si="292"/>
        <v>405</v>
      </c>
      <c r="L28" s="62" t="s">
        <v>7</v>
      </c>
      <c r="M28" s="60" t="s">
        <v>7</v>
      </c>
      <c r="N28" s="61">
        <f t="shared" si="293"/>
        <v>419</v>
      </c>
      <c r="O28" s="62" t="s">
        <v>7</v>
      </c>
      <c r="P28" s="60" t="s">
        <v>7</v>
      </c>
      <c r="Q28" s="61">
        <f t="shared" si="294"/>
        <v>452</v>
      </c>
      <c r="R28" s="62" t="s">
        <v>7</v>
      </c>
      <c r="S28" s="2"/>
      <c r="T28" s="60" t="s">
        <v>7</v>
      </c>
      <c r="U28" s="61">
        <f t="shared" si="295"/>
        <v>6</v>
      </c>
      <c r="V28" s="62" t="s">
        <v>7</v>
      </c>
      <c r="W28" s="60" t="s">
        <v>7</v>
      </c>
      <c r="X28" s="61">
        <f t="shared" si="296"/>
        <v>41</v>
      </c>
      <c r="Y28" s="62" t="s">
        <v>7</v>
      </c>
      <c r="Z28" s="61">
        <f t="shared" ref="Z28:AA28" si="297">Z31+Z34+Z40+Z37+Z43+Z46</f>
        <v>1810</v>
      </c>
      <c r="AA28" s="61">
        <f t="shared" si="297"/>
        <v>343</v>
      </c>
      <c r="AB28" s="63">
        <f t="shared" si="78"/>
        <v>-0.8104972376</v>
      </c>
      <c r="AC28" s="61">
        <f t="shared" ref="AC28:AD28" si="298">AC31+AC34+AC40+AC37+AC43+AC46</f>
        <v>2082.333333</v>
      </c>
      <c r="AD28" s="61">
        <f t="shared" si="298"/>
        <v>2082.333333</v>
      </c>
      <c r="AE28" s="63">
        <f t="shared" si="80"/>
        <v>0</v>
      </c>
      <c r="AF28" s="61">
        <f t="shared" ref="AF28:AG28" si="299">AF31+AF34+AF40+AF37+AF43+AF46</f>
        <v>2082.333333</v>
      </c>
      <c r="AG28" s="61">
        <f t="shared" si="299"/>
        <v>2082.333333</v>
      </c>
      <c r="AH28" s="63">
        <f t="shared" si="82"/>
        <v>0</v>
      </c>
      <c r="AI28" s="61">
        <f t="shared" ref="AI28:AJ28" si="300">AI31+AI34+AI40+AI37+AI43+AI46</f>
        <v>2082.333333</v>
      </c>
      <c r="AJ28" s="61">
        <f t="shared" si="300"/>
        <v>2082.333333</v>
      </c>
      <c r="AK28" s="63">
        <f t="shared" si="84"/>
        <v>0</v>
      </c>
      <c r="AL28" s="61">
        <f t="shared" ref="AL28:AM28" si="301">AL31+AL34+AL40+AL37+AL43+AL46</f>
        <v>2082.333333</v>
      </c>
      <c r="AM28" s="61">
        <f t="shared" si="301"/>
        <v>2082.333333</v>
      </c>
      <c r="AN28" s="63">
        <f t="shared" si="86"/>
        <v>0</v>
      </c>
      <c r="AO28" s="61">
        <f t="shared" ref="AO28:AP28" si="302">AO31+AO34+AO40+AO37+AO43+AO46</f>
        <v>2082.333333</v>
      </c>
      <c r="AP28" s="61">
        <f t="shared" si="302"/>
        <v>2082.333333</v>
      </c>
      <c r="AQ28" s="63">
        <f t="shared" si="88"/>
        <v>0</v>
      </c>
      <c r="AR28" s="61">
        <f t="shared" ref="AR28:AS28" si="303">AR31+AR34+AR40+AR37+AR43+AR46</f>
        <v>2082.333333</v>
      </c>
      <c r="AS28" s="61">
        <f t="shared" si="303"/>
        <v>2082.333333</v>
      </c>
      <c r="AT28" s="63">
        <f t="shared" si="90"/>
        <v>0</v>
      </c>
      <c r="AU28" s="61">
        <f t="shared" ref="AU28:AV28" si="304">AU31+AU34+AU40+AU37+AU43+AU46</f>
        <v>2082.333333</v>
      </c>
      <c r="AV28" s="61">
        <f t="shared" si="304"/>
        <v>2082.333333</v>
      </c>
      <c r="AW28" s="63">
        <f t="shared" si="92"/>
        <v>0</v>
      </c>
      <c r="AX28" s="61">
        <f t="shared" ref="AX28:AY28" si="305">AX31+AX34+AX40+AX37+AX43+AX46</f>
        <v>2082.333333</v>
      </c>
      <c r="AY28" s="61">
        <f t="shared" si="305"/>
        <v>2082.333333</v>
      </c>
      <c r="AZ28" s="63">
        <f t="shared" si="94"/>
        <v>0</v>
      </c>
      <c r="BA28" s="61">
        <f t="shared" ref="BA28:BB28" si="306">BA31+BA34+BA40+BA37+BA43+BA46</f>
        <v>2082.333333</v>
      </c>
      <c r="BB28" s="61">
        <f t="shared" si="306"/>
        <v>2082.333333</v>
      </c>
      <c r="BC28" s="63">
        <f t="shared" si="96"/>
        <v>0</v>
      </c>
      <c r="BD28" s="16"/>
      <c r="BE28" s="61">
        <f t="shared" ref="BE28:BF28" si="307">BE31+BE34+BE40+BE37+BE43+BE46</f>
        <v>2082.333333</v>
      </c>
      <c r="BF28" s="61">
        <f t="shared" si="307"/>
        <v>2082.333333</v>
      </c>
      <c r="BG28" s="63">
        <f t="shared" si="98"/>
        <v>0</v>
      </c>
      <c r="BH28" s="61">
        <f t="shared" ref="BH28:BI28" si="308">BH31+BH34+BH40+BH37+BH43+BH46</f>
        <v>2082.333333</v>
      </c>
      <c r="BI28" s="61">
        <f t="shared" si="308"/>
        <v>2082.333333</v>
      </c>
      <c r="BJ28" s="63">
        <f t="shared" si="100"/>
        <v>0</v>
      </c>
      <c r="BK28" s="61">
        <f t="shared" ref="BK28:BL28" si="309">BK31+BK34+BK40+BK37+BK43+BK46</f>
        <v>0</v>
      </c>
      <c r="BL28" s="61">
        <f t="shared" si="309"/>
        <v>0</v>
      </c>
      <c r="BM28" s="63">
        <f t="shared" si="102"/>
        <v>0</v>
      </c>
    </row>
    <row r="29" ht="15.75" customHeight="1" outlineLevel="1">
      <c r="A29" s="2"/>
      <c r="B29" s="26"/>
      <c r="C29" s="64" t="s">
        <v>9</v>
      </c>
      <c r="D29" s="2"/>
      <c r="E29" s="65">
        <f t="shared" ref="E29:H29" si="310">IFERROR(E27/E28,0)</f>
        <v>63.71876959</v>
      </c>
      <c r="F29" s="66">
        <f t="shared" si="310"/>
        <v>77.76925984</v>
      </c>
      <c r="G29" s="66">
        <f t="shared" si="310"/>
        <v>69.63342404</v>
      </c>
      <c r="H29" s="67">
        <f t="shared" si="310"/>
        <v>75.66067395</v>
      </c>
      <c r="I29" s="31"/>
      <c r="J29" s="65" t="s">
        <v>7</v>
      </c>
      <c r="K29" s="66">
        <f>IFERROR(K27/K28,0)</f>
        <v>49.67758025</v>
      </c>
      <c r="L29" s="67" t="s">
        <v>7</v>
      </c>
      <c r="M29" s="65" t="s">
        <v>7</v>
      </c>
      <c r="N29" s="66">
        <f>IFERROR(N27/N28,0)</f>
        <v>46.35909308</v>
      </c>
      <c r="O29" s="67" t="s">
        <v>7</v>
      </c>
      <c r="P29" s="65" t="s">
        <v>7</v>
      </c>
      <c r="Q29" s="66">
        <f>IFERROR(Q27/Q28,0)</f>
        <v>92.39219027</v>
      </c>
      <c r="R29" s="67" t="s">
        <v>7</v>
      </c>
      <c r="S29" s="2"/>
      <c r="T29" s="65" t="s">
        <v>7</v>
      </c>
      <c r="U29" s="66">
        <f>IFERROR(U27/U28,0)</f>
        <v>7084.686667</v>
      </c>
      <c r="V29" s="67" t="s">
        <v>7</v>
      </c>
      <c r="W29" s="65" t="s">
        <v>7</v>
      </c>
      <c r="X29" s="66">
        <f>IFERROR(X27/X28,0)</f>
        <v>1356.94122</v>
      </c>
      <c r="Y29" s="67" t="s">
        <v>7</v>
      </c>
      <c r="Z29" s="65">
        <f t="shared" ref="Z29:AA29" si="311">IFERROR(Z27/Z28,0)</f>
        <v>57.95082873</v>
      </c>
      <c r="AA29" s="66">
        <f t="shared" si="311"/>
        <v>246.8250729</v>
      </c>
      <c r="AB29" s="68">
        <f t="shared" si="78"/>
        <v>3.259215585</v>
      </c>
      <c r="AC29" s="65">
        <f t="shared" ref="AC29:AD29" si="312">IFERROR(AC27/AC28,0)</f>
        <v>69.63342404</v>
      </c>
      <c r="AD29" s="66">
        <f t="shared" si="312"/>
        <v>69.63342404</v>
      </c>
      <c r="AE29" s="68">
        <f t="shared" si="80"/>
        <v>0</v>
      </c>
      <c r="AF29" s="65">
        <f t="shared" ref="AF29:AG29" si="313">IFERROR(AF27/AF28,0)</f>
        <v>69.63342404</v>
      </c>
      <c r="AG29" s="66">
        <f t="shared" si="313"/>
        <v>69.63342404</v>
      </c>
      <c r="AH29" s="68">
        <f t="shared" si="82"/>
        <v>0</v>
      </c>
      <c r="AI29" s="65">
        <f t="shared" ref="AI29:AJ29" si="314">IFERROR(AI27/AI28,0)</f>
        <v>69.63342404</v>
      </c>
      <c r="AJ29" s="66">
        <f t="shared" si="314"/>
        <v>69.63342404</v>
      </c>
      <c r="AK29" s="68">
        <f t="shared" si="84"/>
        <v>0</v>
      </c>
      <c r="AL29" s="65">
        <f t="shared" ref="AL29:AM29" si="315">IFERROR(AL27/AL28,0)</f>
        <v>69.63342404</v>
      </c>
      <c r="AM29" s="66">
        <f t="shared" si="315"/>
        <v>69.63342404</v>
      </c>
      <c r="AN29" s="68">
        <f t="shared" si="86"/>
        <v>0</v>
      </c>
      <c r="AO29" s="65">
        <f t="shared" ref="AO29:AP29" si="316">IFERROR(AO27/AO28,0)</f>
        <v>69.63342404</v>
      </c>
      <c r="AP29" s="66">
        <f t="shared" si="316"/>
        <v>69.63342404</v>
      </c>
      <c r="AQ29" s="68">
        <f t="shared" si="88"/>
        <v>0</v>
      </c>
      <c r="AR29" s="65">
        <f t="shared" ref="AR29:AS29" si="317">IFERROR(AR27/AR28,0)</f>
        <v>69.63342404</v>
      </c>
      <c r="AS29" s="66">
        <f t="shared" si="317"/>
        <v>69.63342404</v>
      </c>
      <c r="AT29" s="68">
        <f t="shared" si="90"/>
        <v>0</v>
      </c>
      <c r="AU29" s="65">
        <f t="shared" ref="AU29:AV29" si="318">IFERROR(AU27/AU28,0)</f>
        <v>69.63342404</v>
      </c>
      <c r="AV29" s="66">
        <f t="shared" si="318"/>
        <v>69.63342404</v>
      </c>
      <c r="AW29" s="68">
        <f t="shared" si="92"/>
        <v>0</v>
      </c>
      <c r="AX29" s="65">
        <f t="shared" ref="AX29:AY29" si="319">IFERROR(AX27/AX28,0)</f>
        <v>69.63342404</v>
      </c>
      <c r="AY29" s="66">
        <f t="shared" si="319"/>
        <v>69.63342404</v>
      </c>
      <c r="AZ29" s="68">
        <f t="shared" si="94"/>
        <v>0</v>
      </c>
      <c r="BA29" s="65">
        <f t="shared" ref="BA29:BB29" si="320">IFERROR(BA27/BA28,0)</f>
        <v>69.63342404</v>
      </c>
      <c r="BB29" s="66">
        <f t="shared" si="320"/>
        <v>69.63342404</v>
      </c>
      <c r="BC29" s="68">
        <f t="shared" si="96"/>
        <v>0</v>
      </c>
      <c r="BD29" s="31"/>
      <c r="BE29" s="65">
        <f t="shared" ref="BE29:BF29" si="321">IFERROR(BE27/BE28,0)</f>
        <v>69.63342404</v>
      </c>
      <c r="BF29" s="66">
        <f t="shared" si="321"/>
        <v>69.63342404</v>
      </c>
      <c r="BG29" s="68">
        <f t="shared" si="98"/>
        <v>0</v>
      </c>
      <c r="BH29" s="65">
        <f t="shared" ref="BH29:BI29" si="322">IFERROR(BH27/BH28,0)</f>
        <v>69.63342404</v>
      </c>
      <c r="BI29" s="66">
        <f t="shared" si="322"/>
        <v>69.63342404</v>
      </c>
      <c r="BJ29" s="68">
        <f t="shared" si="100"/>
        <v>0</v>
      </c>
      <c r="BK29" s="65">
        <f t="shared" ref="BK29:BL29" si="323">IFERROR(BK27/BK28,0)</f>
        <v>0</v>
      </c>
      <c r="BL29" s="66">
        <f t="shared" si="323"/>
        <v>0</v>
      </c>
      <c r="BM29" s="68">
        <f t="shared" si="102"/>
        <v>0</v>
      </c>
    </row>
    <row r="30" ht="15.75" customHeight="1" outlineLevel="1">
      <c r="A30" s="69"/>
      <c r="B30" s="70" t="s">
        <v>17</v>
      </c>
      <c r="C30" s="71" t="s">
        <v>6</v>
      </c>
      <c r="D30" s="69"/>
      <c r="E30" s="72">
        <f t="shared" ref="E30:E31" si="324">K30+N30+Q30</f>
        <v>17626.27</v>
      </c>
      <c r="F30" s="73">
        <f t="shared" ref="F30:F31" si="325">U30+X30+AA30+AD30+AG30+AJ30+AM30+AP30+AS30+AV30+AY30+BB30</f>
        <v>142329.77</v>
      </c>
      <c r="G30" s="73">
        <f t="shared" ref="G30:G31" si="326">BF30+BI30+BL30</f>
        <v>30000</v>
      </c>
      <c r="H30" s="74">
        <f t="shared" ref="H30:H31" si="327">SUM(E30:G30)</f>
        <v>189956.04</v>
      </c>
      <c r="I30" s="16"/>
      <c r="J30" s="72" t="s">
        <v>7</v>
      </c>
      <c r="K30" s="73"/>
      <c r="L30" s="74" t="s">
        <v>7</v>
      </c>
      <c r="M30" s="72" t="s">
        <v>7</v>
      </c>
      <c r="N30" s="73"/>
      <c r="O30" s="74" t="s">
        <v>7</v>
      </c>
      <c r="P30" s="72" t="s">
        <v>7</v>
      </c>
      <c r="Q30" s="73">
        <v>17626.27</v>
      </c>
      <c r="R30" s="74" t="s">
        <v>7</v>
      </c>
      <c r="S30" s="69"/>
      <c r="T30" s="72" t="s">
        <v>7</v>
      </c>
      <c r="U30" s="73">
        <v>7329.77</v>
      </c>
      <c r="V30" s="74" t="s">
        <v>7</v>
      </c>
      <c r="W30" s="72" t="s">
        <v>7</v>
      </c>
      <c r="X30" s="73"/>
      <c r="Y30" s="74" t="s">
        <v>7</v>
      </c>
      <c r="Z30" s="72"/>
      <c r="AA30" s="73"/>
      <c r="AB30" s="76">
        <f t="shared" si="78"/>
        <v>0</v>
      </c>
      <c r="AC30" s="93">
        <v>15000.0</v>
      </c>
      <c r="AD30" s="75">
        <v>15000.0</v>
      </c>
      <c r="AE30" s="76">
        <f t="shared" si="80"/>
        <v>0</v>
      </c>
      <c r="AF30" s="93">
        <v>15000.0</v>
      </c>
      <c r="AG30" s="75">
        <v>15000.0</v>
      </c>
      <c r="AH30" s="76">
        <f t="shared" si="82"/>
        <v>0</v>
      </c>
      <c r="AI30" s="93">
        <v>15000.0</v>
      </c>
      <c r="AJ30" s="75">
        <v>15000.0</v>
      </c>
      <c r="AK30" s="76">
        <f t="shared" si="84"/>
        <v>0</v>
      </c>
      <c r="AL30" s="93">
        <v>15000.0</v>
      </c>
      <c r="AM30" s="75">
        <v>15000.0</v>
      </c>
      <c r="AN30" s="76">
        <f t="shared" si="86"/>
        <v>0</v>
      </c>
      <c r="AO30" s="93">
        <v>15000.0</v>
      </c>
      <c r="AP30" s="75">
        <v>15000.0</v>
      </c>
      <c r="AQ30" s="76">
        <f t="shared" si="88"/>
        <v>0</v>
      </c>
      <c r="AR30" s="93">
        <v>15000.0</v>
      </c>
      <c r="AS30" s="75">
        <v>15000.0</v>
      </c>
      <c r="AT30" s="76">
        <f t="shared" si="90"/>
        <v>0</v>
      </c>
      <c r="AU30" s="93">
        <v>15000.0</v>
      </c>
      <c r="AV30" s="75">
        <v>15000.0</v>
      </c>
      <c r="AW30" s="76">
        <f t="shared" si="92"/>
        <v>0</v>
      </c>
      <c r="AX30" s="93">
        <v>15000.0</v>
      </c>
      <c r="AY30" s="75">
        <v>15000.0</v>
      </c>
      <c r="AZ30" s="76">
        <f t="shared" si="94"/>
        <v>0</v>
      </c>
      <c r="BA30" s="93">
        <v>15000.0</v>
      </c>
      <c r="BB30" s="75">
        <v>15000.0</v>
      </c>
      <c r="BC30" s="76">
        <f t="shared" si="96"/>
        <v>0</v>
      </c>
      <c r="BD30" s="16"/>
      <c r="BE30" s="93">
        <v>15000.0</v>
      </c>
      <c r="BF30" s="75">
        <v>15000.0</v>
      </c>
      <c r="BG30" s="76">
        <f t="shared" si="98"/>
        <v>0</v>
      </c>
      <c r="BH30" s="93">
        <v>15000.0</v>
      </c>
      <c r="BI30" s="75">
        <v>15000.0</v>
      </c>
      <c r="BJ30" s="76">
        <f t="shared" si="100"/>
        <v>0</v>
      </c>
      <c r="BK30" s="72"/>
      <c r="BL30" s="73"/>
      <c r="BM30" s="76">
        <f t="shared" si="102"/>
        <v>0</v>
      </c>
    </row>
    <row r="31" ht="15.75" customHeight="1" outlineLevel="1">
      <c r="A31" s="69"/>
      <c r="B31" s="20"/>
      <c r="C31" s="77" t="s">
        <v>8</v>
      </c>
      <c r="D31" s="69"/>
      <c r="E31" s="78">
        <f t="shared" si="324"/>
        <v>26</v>
      </c>
      <c r="F31" s="79">
        <f t="shared" si="325"/>
        <v>450</v>
      </c>
      <c r="G31" s="79">
        <f t="shared" si="326"/>
        <v>100</v>
      </c>
      <c r="H31" s="80">
        <f t="shared" si="327"/>
        <v>576</v>
      </c>
      <c r="I31" s="16"/>
      <c r="J31" s="78" t="s">
        <v>7</v>
      </c>
      <c r="K31" s="79"/>
      <c r="L31" s="80" t="s">
        <v>7</v>
      </c>
      <c r="M31" s="78" t="s">
        <v>7</v>
      </c>
      <c r="N31" s="79"/>
      <c r="O31" s="80" t="s">
        <v>7</v>
      </c>
      <c r="P31" s="78" t="s">
        <v>7</v>
      </c>
      <c r="Q31" s="79">
        <v>26.0</v>
      </c>
      <c r="R31" s="80" t="s">
        <v>7</v>
      </c>
      <c r="S31" s="69"/>
      <c r="T31" s="78" t="s">
        <v>7</v>
      </c>
      <c r="U31" s="79"/>
      <c r="V31" s="80" t="s">
        <v>7</v>
      </c>
      <c r="W31" s="78" t="s">
        <v>7</v>
      </c>
      <c r="X31" s="79"/>
      <c r="Y31" s="80" t="s">
        <v>7</v>
      </c>
      <c r="Z31" s="78"/>
      <c r="AA31" s="79"/>
      <c r="AB31" s="82">
        <f t="shared" si="78"/>
        <v>0</v>
      </c>
      <c r="AC31" s="92">
        <f t="shared" ref="AC31:AD31" si="328">AC30/300</f>
        <v>50</v>
      </c>
      <c r="AD31" s="81">
        <f t="shared" si="328"/>
        <v>50</v>
      </c>
      <c r="AE31" s="82">
        <f t="shared" si="80"/>
        <v>0</v>
      </c>
      <c r="AF31" s="92">
        <f t="shared" ref="AF31:AG31" si="329">AF30/300</f>
        <v>50</v>
      </c>
      <c r="AG31" s="81">
        <f t="shared" si="329"/>
        <v>50</v>
      </c>
      <c r="AH31" s="82">
        <f t="shared" si="82"/>
        <v>0</v>
      </c>
      <c r="AI31" s="92">
        <f t="shared" ref="AI31:AJ31" si="330">AI30/300</f>
        <v>50</v>
      </c>
      <c r="AJ31" s="81">
        <f t="shared" si="330"/>
        <v>50</v>
      </c>
      <c r="AK31" s="82">
        <f t="shared" si="84"/>
        <v>0</v>
      </c>
      <c r="AL31" s="92">
        <f t="shared" ref="AL31:AM31" si="331">AL30/300</f>
        <v>50</v>
      </c>
      <c r="AM31" s="81">
        <f t="shared" si="331"/>
        <v>50</v>
      </c>
      <c r="AN31" s="82">
        <f t="shared" si="86"/>
        <v>0</v>
      </c>
      <c r="AO31" s="92">
        <f t="shared" ref="AO31:AP31" si="332">AO30/300</f>
        <v>50</v>
      </c>
      <c r="AP31" s="81">
        <f t="shared" si="332"/>
        <v>50</v>
      </c>
      <c r="AQ31" s="82">
        <f t="shared" si="88"/>
        <v>0</v>
      </c>
      <c r="AR31" s="92">
        <f t="shared" ref="AR31:AS31" si="333">AR30/300</f>
        <v>50</v>
      </c>
      <c r="AS31" s="81">
        <f t="shared" si="333"/>
        <v>50</v>
      </c>
      <c r="AT31" s="82">
        <f t="shared" si="90"/>
        <v>0</v>
      </c>
      <c r="AU31" s="92">
        <f t="shared" ref="AU31:AV31" si="334">AU30/300</f>
        <v>50</v>
      </c>
      <c r="AV31" s="81">
        <f t="shared" si="334"/>
        <v>50</v>
      </c>
      <c r="AW31" s="82">
        <f t="shared" si="92"/>
        <v>0</v>
      </c>
      <c r="AX31" s="92">
        <f t="shared" ref="AX31:AY31" si="335">AX30/300</f>
        <v>50</v>
      </c>
      <c r="AY31" s="81">
        <f t="shared" si="335"/>
        <v>50</v>
      </c>
      <c r="AZ31" s="82">
        <f t="shared" si="94"/>
        <v>0</v>
      </c>
      <c r="BA31" s="92">
        <f t="shared" ref="BA31:BB31" si="336">BA30/300</f>
        <v>50</v>
      </c>
      <c r="BB31" s="81">
        <f t="shared" si="336"/>
        <v>50</v>
      </c>
      <c r="BC31" s="82">
        <f t="shared" si="96"/>
        <v>0</v>
      </c>
      <c r="BD31" s="16"/>
      <c r="BE31" s="92">
        <f t="shared" ref="BE31:BF31" si="337">BE30/300</f>
        <v>50</v>
      </c>
      <c r="BF31" s="81">
        <f t="shared" si="337"/>
        <v>50</v>
      </c>
      <c r="BG31" s="82">
        <f t="shared" si="98"/>
        <v>0</v>
      </c>
      <c r="BH31" s="92">
        <f t="shared" ref="BH31:BI31" si="338">BH30/300</f>
        <v>50</v>
      </c>
      <c r="BI31" s="81">
        <f t="shared" si="338"/>
        <v>50</v>
      </c>
      <c r="BJ31" s="82">
        <f t="shared" si="100"/>
        <v>0</v>
      </c>
      <c r="BK31" s="78"/>
      <c r="BL31" s="79"/>
      <c r="BM31" s="82">
        <f t="shared" si="102"/>
        <v>0</v>
      </c>
    </row>
    <row r="32" ht="15.75" customHeight="1" outlineLevel="1">
      <c r="A32" s="84"/>
      <c r="B32" s="26"/>
      <c r="C32" s="85" t="s">
        <v>9</v>
      </c>
      <c r="D32" s="84"/>
      <c r="E32" s="86">
        <f t="shared" ref="E32:H32" si="339">IFERROR(E30/E31,0)</f>
        <v>677.9334615</v>
      </c>
      <c r="F32" s="87">
        <f t="shared" si="339"/>
        <v>316.2883778</v>
      </c>
      <c r="G32" s="87">
        <f t="shared" si="339"/>
        <v>300</v>
      </c>
      <c r="H32" s="88">
        <f t="shared" si="339"/>
        <v>329.7847917</v>
      </c>
      <c r="I32" s="31"/>
      <c r="J32" s="86" t="s">
        <v>7</v>
      </c>
      <c r="K32" s="87">
        <f>IFERROR(K30/K31,0)</f>
        <v>0</v>
      </c>
      <c r="L32" s="88" t="s">
        <v>7</v>
      </c>
      <c r="M32" s="86" t="s">
        <v>7</v>
      </c>
      <c r="N32" s="87">
        <f>IFERROR(N30/N31,0)</f>
        <v>0</v>
      </c>
      <c r="O32" s="88" t="s">
        <v>7</v>
      </c>
      <c r="P32" s="86" t="s">
        <v>7</v>
      </c>
      <c r="Q32" s="87">
        <f>IFERROR(Q30/Q31,0)</f>
        <v>677.9334615</v>
      </c>
      <c r="R32" s="88" t="s">
        <v>7</v>
      </c>
      <c r="S32" s="84"/>
      <c r="T32" s="86" t="s">
        <v>7</v>
      </c>
      <c r="U32" s="87">
        <f>IFERROR(U30/U31,0)</f>
        <v>0</v>
      </c>
      <c r="V32" s="88" t="s">
        <v>7</v>
      </c>
      <c r="W32" s="86" t="s">
        <v>7</v>
      </c>
      <c r="X32" s="87">
        <f>IFERROR(X30/X31,0)</f>
        <v>0</v>
      </c>
      <c r="Y32" s="88" t="s">
        <v>7</v>
      </c>
      <c r="Z32" s="86">
        <f t="shared" ref="Z32:AA32" si="340">IFERROR(Z30/Z31,0)</f>
        <v>0</v>
      </c>
      <c r="AA32" s="87">
        <f t="shared" si="340"/>
        <v>0</v>
      </c>
      <c r="AB32" s="89">
        <f t="shared" si="78"/>
        <v>0</v>
      </c>
      <c r="AC32" s="86">
        <f t="shared" ref="AC32:AD32" si="341">IFERROR(AC30/AC31,0)</f>
        <v>300</v>
      </c>
      <c r="AD32" s="87">
        <f t="shared" si="341"/>
        <v>300</v>
      </c>
      <c r="AE32" s="89">
        <f t="shared" si="80"/>
        <v>0</v>
      </c>
      <c r="AF32" s="86">
        <f t="shared" ref="AF32:AG32" si="342">IFERROR(AF30/AF31,0)</f>
        <v>300</v>
      </c>
      <c r="AG32" s="87">
        <f t="shared" si="342"/>
        <v>300</v>
      </c>
      <c r="AH32" s="89">
        <f t="shared" si="82"/>
        <v>0</v>
      </c>
      <c r="AI32" s="86">
        <f t="shared" ref="AI32:AJ32" si="343">IFERROR(AI30/AI31,0)</f>
        <v>300</v>
      </c>
      <c r="AJ32" s="87">
        <f t="shared" si="343"/>
        <v>300</v>
      </c>
      <c r="AK32" s="89">
        <f t="shared" si="84"/>
        <v>0</v>
      </c>
      <c r="AL32" s="86">
        <f t="shared" ref="AL32:AM32" si="344">IFERROR(AL30/AL31,0)</f>
        <v>300</v>
      </c>
      <c r="AM32" s="87">
        <f t="shared" si="344"/>
        <v>300</v>
      </c>
      <c r="AN32" s="89">
        <f t="shared" si="86"/>
        <v>0</v>
      </c>
      <c r="AO32" s="86">
        <f t="shared" ref="AO32:AP32" si="345">IFERROR(AO30/AO31,0)</f>
        <v>300</v>
      </c>
      <c r="AP32" s="87">
        <f t="shared" si="345"/>
        <v>300</v>
      </c>
      <c r="AQ32" s="89">
        <f t="shared" si="88"/>
        <v>0</v>
      </c>
      <c r="AR32" s="86">
        <f t="shared" ref="AR32:AS32" si="346">IFERROR(AR30/AR31,0)</f>
        <v>300</v>
      </c>
      <c r="AS32" s="87">
        <f t="shared" si="346"/>
        <v>300</v>
      </c>
      <c r="AT32" s="89">
        <f t="shared" si="90"/>
        <v>0</v>
      </c>
      <c r="AU32" s="86">
        <f t="shared" ref="AU32:AV32" si="347">IFERROR(AU30/AU31,0)</f>
        <v>300</v>
      </c>
      <c r="AV32" s="87">
        <f t="shared" si="347"/>
        <v>300</v>
      </c>
      <c r="AW32" s="89">
        <f t="shared" si="92"/>
        <v>0</v>
      </c>
      <c r="AX32" s="86">
        <f t="shared" ref="AX32:AY32" si="348">IFERROR(AX30/AX31,0)</f>
        <v>300</v>
      </c>
      <c r="AY32" s="87">
        <f t="shared" si="348"/>
        <v>300</v>
      </c>
      <c r="AZ32" s="89">
        <f t="shared" si="94"/>
        <v>0</v>
      </c>
      <c r="BA32" s="86">
        <f t="shared" ref="BA32:BB32" si="349">IFERROR(BA30/BA31,0)</f>
        <v>300</v>
      </c>
      <c r="BB32" s="87">
        <f t="shared" si="349"/>
        <v>300</v>
      </c>
      <c r="BC32" s="89">
        <f t="shared" si="96"/>
        <v>0</v>
      </c>
      <c r="BD32" s="31"/>
      <c r="BE32" s="86">
        <f t="shared" ref="BE32:BF32" si="350">IFERROR(BE30/BE31,0)</f>
        <v>300</v>
      </c>
      <c r="BF32" s="87">
        <f t="shared" si="350"/>
        <v>300</v>
      </c>
      <c r="BG32" s="89">
        <f t="shared" si="98"/>
        <v>0</v>
      </c>
      <c r="BH32" s="86">
        <f t="shared" ref="BH32:BI32" si="351">IFERROR(BH30/BH31,0)</f>
        <v>300</v>
      </c>
      <c r="BI32" s="87">
        <f t="shared" si="351"/>
        <v>300</v>
      </c>
      <c r="BJ32" s="89">
        <f t="shared" si="100"/>
        <v>0</v>
      </c>
      <c r="BK32" s="86">
        <f t="shared" ref="BK32:BL32" si="352">IFERROR(BK30/BK31,0)</f>
        <v>0</v>
      </c>
      <c r="BL32" s="87">
        <f t="shared" si="352"/>
        <v>0</v>
      </c>
      <c r="BM32" s="89">
        <f t="shared" si="102"/>
        <v>0</v>
      </c>
    </row>
    <row r="33" ht="15.75" customHeight="1" outlineLevel="1">
      <c r="A33" s="69"/>
      <c r="B33" s="70" t="s">
        <v>18</v>
      </c>
      <c r="C33" s="71" t="s">
        <v>6</v>
      </c>
      <c r="D33" s="69"/>
      <c r="E33" s="72">
        <f t="shared" ref="E33:E34" si="353">K33+N33+Q33</f>
        <v>63678.88</v>
      </c>
      <c r="F33" s="73">
        <f t="shared" ref="F33:F34" si="354">U33+X33+AA33+AD33+AG33+AJ33+AM33+AP33+AS33+AV33+AY33+BB33</f>
        <v>846665.31</v>
      </c>
      <c r="G33" s="73">
        <f t="shared" ref="G33:G34" si="355">BF33+BI33+BL33</f>
        <v>160000</v>
      </c>
      <c r="H33" s="74">
        <f t="shared" ref="H33:H34" si="356">SUM(E33:G33)</f>
        <v>1070344.19</v>
      </c>
      <c r="I33" s="16"/>
      <c r="J33" s="72" t="s">
        <v>7</v>
      </c>
      <c r="K33" s="73">
        <v>20119.42</v>
      </c>
      <c r="L33" s="74" t="s">
        <v>7</v>
      </c>
      <c r="M33" s="72" t="s">
        <v>7</v>
      </c>
      <c r="N33" s="73">
        <v>19424.46</v>
      </c>
      <c r="O33" s="74" t="s">
        <v>7</v>
      </c>
      <c r="P33" s="72" t="s">
        <v>7</v>
      </c>
      <c r="Q33" s="73">
        <v>24135.0</v>
      </c>
      <c r="R33" s="74" t="s">
        <v>7</v>
      </c>
      <c r="S33" s="69"/>
      <c r="T33" s="72" t="s">
        <v>7</v>
      </c>
      <c r="U33" s="73">
        <v>24210.0</v>
      </c>
      <c r="V33" s="74" t="s">
        <v>7</v>
      </c>
      <c r="W33" s="72" t="s">
        <v>7</v>
      </c>
      <c r="X33" s="73">
        <v>33810.31</v>
      </c>
      <c r="Y33" s="74" t="s">
        <v>7</v>
      </c>
      <c r="Z33" s="93">
        <v>80000.0</v>
      </c>
      <c r="AA33" s="75">
        <v>68645.0</v>
      </c>
      <c r="AB33" s="76">
        <f t="shared" si="78"/>
        <v>-0.1419375</v>
      </c>
      <c r="AC33" s="93">
        <v>80000.0</v>
      </c>
      <c r="AD33" s="75">
        <v>80000.0</v>
      </c>
      <c r="AE33" s="76">
        <f t="shared" si="80"/>
        <v>0</v>
      </c>
      <c r="AF33" s="93">
        <v>80000.0</v>
      </c>
      <c r="AG33" s="75">
        <v>80000.0</v>
      </c>
      <c r="AH33" s="76">
        <f t="shared" si="82"/>
        <v>0</v>
      </c>
      <c r="AI33" s="93">
        <v>80000.0</v>
      </c>
      <c r="AJ33" s="75">
        <v>80000.0</v>
      </c>
      <c r="AK33" s="76">
        <f t="shared" si="84"/>
        <v>0</v>
      </c>
      <c r="AL33" s="93">
        <v>80000.0</v>
      </c>
      <c r="AM33" s="75">
        <v>80000.0</v>
      </c>
      <c r="AN33" s="76">
        <f t="shared" si="86"/>
        <v>0</v>
      </c>
      <c r="AO33" s="93">
        <v>80000.0</v>
      </c>
      <c r="AP33" s="75">
        <v>80000.0</v>
      </c>
      <c r="AQ33" s="76">
        <f t="shared" si="88"/>
        <v>0</v>
      </c>
      <c r="AR33" s="93">
        <v>80000.0</v>
      </c>
      <c r="AS33" s="75">
        <v>80000.0</v>
      </c>
      <c r="AT33" s="76">
        <f t="shared" si="90"/>
        <v>0</v>
      </c>
      <c r="AU33" s="93">
        <v>80000.0</v>
      </c>
      <c r="AV33" s="75">
        <v>80000.0</v>
      </c>
      <c r="AW33" s="76">
        <f t="shared" si="92"/>
        <v>0</v>
      </c>
      <c r="AX33" s="93">
        <v>80000.0</v>
      </c>
      <c r="AY33" s="75">
        <v>80000.0</v>
      </c>
      <c r="AZ33" s="76">
        <f t="shared" si="94"/>
        <v>0</v>
      </c>
      <c r="BA33" s="93">
        <v>80000.0</v>
      </c>
      <c r="BB33" s="75">
        <v>80000.0</v>
      </c>
      <c r="BC33" s="76">
        <f t="shared" si="96"/>
        <v>0</v>
      </c>
      <c r="BD33" s="16"/>
      <c r="BE33" s="93">
        <v>80000.0</v>
      </c>
      <c r="BF33" s="75">
        <v>80000.0</v>
      </c>
      <c r="BG33" s="76">
        <f t="shared" si="98"/>
        <v>0</v>
      </c>
      <c r="BH33" s="93">
        <v>80000.0</v>
      </c>
      <c r="BI33" s="75">
        <v>80000.0</v>
      </c>
      <c r="BJ33" s="76">
        <f t="shared" si="100"/>
        <v>0</v>
      </c>
      <c r="BK33" s="72"/>
      <c r="BL33" s="73"/>
      <c r="BM33" s="76">
        <f t="shared" si="102"/>
        <v>0</v>
      </c>
    </row>
    <row r="34" ht="15.75" customHeight="1" outlineLevel="1">
      <c r="A34" s="69"/>
      <c r="B34" s="20"/>
      <c r="C34" s="77" t="s">
        <v>8</v>
      </c>
      <c r="D34" s="69"/>
      <c r="E34" s="78">
        <f t="shared" si="353"/>
        <v>1250</v>
      </c>
      <c r="F34" s="79">
        <f t="shared" si="354"/>
        <v>11133</v>
      </c>
      <c r="G34" s="79">
        <f t="shared" si="355"/>
        <v>2398</v>
      </c>
      <c r="H34" s="80">
        <f t="shared" si="356"/>
        <v>14781</v>
      </c>
      <c r="I34" s="16"/>
      <c r="J34" s="78" t="s">
        <v>7</v>
      </c>
      <c r="K34" s="79">
        <v>405.0</v>
      </c>
      <c r="L34" s="80" t="s">
        <v>7</v>
      </c>
      <c r="M34" s="78" t="s">
        <v>7</v>
      </c>
      <c r="N34" s="79">
        <v>419.0</v>
      </c>
      <c r="O34" s="80" t="s">
        <v>7</v>
      </c>
      <c r="P34" s="78" t="s">
        <v>7</v>
      </c>
      <c r="Q34" s="79">
        <v>426.0</v>
      </c>
      <c r="R34" s="80" t="s">
        <v>7</v>
      </c>
      <c r="S34" s="69"/>
      <c r="T34" s="78" t="s">
        <v>7</v>
      </c>
      <c r="U34" s="79"/>
      <c r="V34" s="80" t="s">
        <v>7</v>
      </c>
      <c r="W34" s="78" t="s">
        <v>7</v>
      </c>
      <c r="X34" s="79">
        <v>31.0</v>
      </c>
      <c r="Y34" s="80" t="s">
        <v>7</v>
      </c>
      <c r="Z34" s="78">
        <v>1423.0</v>
      </c>
      <c r="AA34" s="81">
        <v>311.0</v>
      </c>
      <c r="AB34" s="82">
        <f t="shared" si="78"/>
        <v>-0.7814476458</v>
      </c>
      <c r="AC34" s="78">
        <v>1199.0</v>
      </c>
      <c r="AD34" s="79">
        <v>1199.0</v>
      </c>
      <c r="AE34" s="82">
        <f t="shared" si="80"/>
        <v>0</v>
      </c>
      <c r="AF34" s="78">
        <v>1199.0</v>
      </c>
      <c r="AG34" s="81">
        <v>1199.0</v>
      </c>
      <c r="AH34" s="82">
        <f t="shared" si="82"/>
        <v>0</v>
      </c>
      <c r="AI34" s="78">
        <v>1199.0</v>
      </c>
      <c r="AJ34" s="79">
        <v>1199.0</v>
      </c>
      <c r="AK34" s="82">
        <f t="shared" si="84"/>
        <v>0</v>
      </c>
      <c r="AL34" s="78">
        <v>1199.0</v>
      </c>
      <c r="AM34" s="79">
        <v>1199.0</v>
      </c>
      <c r="AN34" s="82">
        <f t="shared" si="86"/>
        <v>0</v>
      </c>
      <c r="AO34" s="78">
        <v>1199.0</v>
      </c>
      <c r="AP34" s="79">
        <v>1199.0</v>
      </c>
      <c r="AQ34" s="82">
        <f t="shared" si="88"/>
        <v>0</v>
      </c>
      <c r="AR34" s="78">
        <v>1199.0</v>
      </c>
      <c r="AS34" s="79">
        <v>1199.0</v>
      </c>
      <c r="AT34" s="82">
        <f t="shared" si="90"/>
        <v>0</v>
      </c>
      <c r="AU34" s="78">
        <v>1199.0</v>
      </c>
      <c r="AV34" s="79">
        <v>1199.0</v>
      </c>
      <c r="AW34" s="82">
        <f t="shared" si="92"/>
        <v>0</v>
      </c>
      <c r="AX34" s="78">
        <v>1199.0</v>
      </c>
      <c r="AY34" s="79">
        <v>1199.0</v>
      </c>
      <c r="AZ34" s="82">
        <f t="shared" si="94"/>
        <v>0</v>
      </c>
      <c r="BA34" s="78">
        <v>1199.0</v>
      </c>
      <c r="BB34" s="79">
        <v>1199.0</v>
      </c>
      <c r="BC34" s="82">
        <f t="shared" si="96"/>
        <v>0</v>
      </c>
      <c r="BD34" s="16"/>
      <c r="BE34" s="78">
        <v>1199.0</v>
      </c>
      <c r="BF34" s="79">
        <v>1199.0</v>
      </c>
      <c r="BG34" s="82">
        <f t="shared" si="98"/>
        <v>0</v>
      </c>
      <c r="BH34" s="78">
        <v>1199.0</v>
      </c>
      <c r="BI34" s="79">
        <v>1199.0</v>
      </c>
      <c r="BJ34" s="82">
        <f t="shared" si="100"/>
        <v>0</v>
      </c>
      <c r="BK34" s="78"/>
      <c r="BL34" s="79"/>
      <c r="BM34" s="82">
        <f t="shared" si="102"/>
        <v>0</v>
      </c>
    </row>
    <row r="35" ht="15.75" customHeight="1" outlineLevel="1">
      <c r="A35" s="84"/>
      <c r="B35" s="26"/>
      <c r="C35" s="85" t="s">
        <v>9</v>
      </c>
      <c r="D35" s="84"/>
      <c r="E35" s="86">
        <f t="shared" ref="E35:H35" si="357">IFERROR(E33/E34,0)</f>
        <v>50.943104</v>
      </c>
      <c r="F35" s="87">
        <f t="shared" si="357"/>
        <v>76.05005928</v>
      </c>
      <c r="G35" s="87">
        <f t="shared" si="357"/>
        <v>66.72226856</v>
      </c>
      <c r="H35" s="88">
        <f t="shared" si="357"/>
        <v>72.41351668</v>
      </c>
      <c r="I35" s="31"/>
      <c r="J35" s="86" t="s">
        <v>7</v>
      </c>
      <c r="K35" s="87">
        <f>IFERROR(K33/K34,0)</f>
        <v>49.67758025</v>
      </c>
      <c r="L35" s="88" t="s">
        <v>7</v>
      </c>
      <c r="M35" s="86" t="s">
        <v>7</v>
      </c>
      <c r="N35" s="87">
        <f>IFERROR(N33/N34,0)</f>
        <v>46.35909308</v>
      </c>
      <c r="O35" s="88" t="s">
        <v>7</v>
      </c>
      <c r="P35" s="86" t="s">
        <v>7</v>
      </c>
      <c r="Q35" s="87">
        <f>IFERROR(Q33/Q34,0)</f>
        <v>56.65492958</v>
      </c>
      <c r="R35" s="88" t="s">
        <v>7</v>
      </c>
      <c r="S35" s="84"/>
      <c r="T35" s="86" t="s">
        <v>7</v>
      </c>
      <c r="U35" s="87">
        <f>IFERROR(U33/U34,0)</f>
        <v>0</v>
      </c>
      <c r="V35" s="88" t="s">
        <v>7</v>
      </c>
      <c r="W35" s="86" t="s">
        <v>7</v>
      </c>
      <c r="X35" s="87">
        <f>IFERROR(X33/X34,0)</f>
        <v>1090.655161</v>
      </c>
      <c r="Y35" s="88" t="s">
        <v>7</v>
      </c>
      <c r="Z35" s="86">
        <f t="shared" ref="Z35:AA35" si="358">IFERROR(Z33/Z34,0)</f>
        <v>56.21925509</v>
      </c>
      <c r="AA35" s="87">
        <f t="shared" si="358"/>
        <v>220.7234727</v>
      </c>
      <c r="AB35" s="89">
        <f t="shared" si="78"/>
        <v>2.92611877</v>
      </c>
      <c r="AC35" s="86">
        <f t="shared" ref="AC35:AD35" si="359">IFERROR(AC33/AC34,0)</f>
        <v>66.72226856</v>
      </c>
      <c r="AD35" s="87">
        <f t="shared" si="359"/>
        <v>66.72226856</v>
      </c>
      <c r="AE35" s="89">
        <f t="shared" si="80"/>
        <v>0</v>
      </c>
      <c r="AF35" s="86">
        <f t="shared" ref="AF35:AG35" si="360">IFERROR(AF33/AF34,0)</f>
        <v>66.72226856</v>
      </c>
      <c r="AG35" s="87">
        <f t="shared" si="360"/>
        <v>66.72226856</v>
      </c>
      <c r="AH35" s="89">
        <f t="shared" si="82"/>
        <v>0</v>
      </c>
      <c r="AI35" s="86">
        <f t="shared" ref="AI35:AJ35" si="361">IFERROR(AI33/AI34,0)</f>
        <v>66.72226856</v>
      </c>
      <c r="AJ35" s="87">
        <f t="shared" si="361"/>
        <v>66.72226856</v>
      </c>
      <c r="AK35" s="89">
        <f t="shared" si="84"/>
        <v>0</v>
      </c>
      <c r="AL35" s="86">
        <f t="shared" ref="AL35:AM35" si="362">IFERROR(AL33/AL34,0)</f>
        <v>66.72226856</v>
      </c>
      <c r="AM35" s="87">
        <f t="shared" si="362"/>
        <v>66.72226856</v>
      </c>
      <c r="AN35" s="89">
        <f t="shared" si="86"/>
        <v>0</v>
      </c>
      <c r="AO35" s="86">
        <f t="shared" ref="AO35:AP35" si="363">IFERROR(AO33/AO34,0)</f>
        <v>66.72226856</v>
      </c>
      <c r="AP35" s="87">
        <f t="shared" si="363"/>
        <v>66.72226856</v>
      </c>
      <c r="AQ35" s="89">
        <f t="shared" si="88"/>
        <v>0</v>
      </c>
      <c r="AR35" s="86">
        <f t="shared" ref="AR35:AS35" si="364">IFERROR(AR33/AR34,0)</f>
        <v>66.72226856</v>
      </c>
      <c r="AS35" s="87">
        <f t="shared" si="364"/>
        <v>66.72226856</v>
      </c>
      <c r="AT35" s="89">
        <f t="shared" si="90"/>
        <v>0</v>
      </c>
      <c r="AU35" s="86">
        <f t="shared" ref="AU35:AV35" si="365">IFERROR(AU33/AU34,0)</f>
        <v>66.72226856</v>
      </c>
      <c r="AV35" s="87">
        <f t="shared" si="365"/>
        <v>66.72226856</v>
      </c>
      <c r="AW35" s="89">
        <f t="shared" si="92"/>
        <v>0</v>
      </c>
      <c r="AX35" s="86">
        <f t="shared" ref="AX35:AY35" si="366">IFERROR(AX33/AX34,0)</f>
        <v>66.72226856</v>
      </c>
      <c r="AY35" s="87">
        <f t="shared" si="366"/>
        <v>66.72226856</v>
      </c>
      <c r="AZ35" s="89">
        <f t="shared" si="94"/>
        <v>0</v>
      </c>
      <c r="BA35" s="86">
        <f t="shared" ref="BA35:BB35" si="367">IFERROR(BA33/BA34,0)</f>
        <v>66.72226856</v>
      </c>
      <c r="BB35" s="87">
        <f t="shared" si="367"/>
        <v>66.72226856</v>
      </c>
      <c r="BC35" s="89">
        <f t="shared" si="96"/>
        <v>0</v>
      </c>
      <c r="BD35" s="31"/>
      <c r="BE35" s="86">
        <f t="shared" ref="BE35:BF35" si="368">IFERROR(BE33/BE34,0)</f>
        <v>66.72226856</v>
      </c>
      <c r="BF35" s="87">
        <f t="shared" si="368"/>
        <v>66.72226856</v>
      </c>
      <c r="BG35" s="89">
        <f t="shared" si="98"/>
        <v>0</v>
      </c>
      <c r="BH35" s="86">
        <f t="shared" ref="BH35:BI35" si="369">IFERROR(BH33/BH34,0)</f>
        <v>66.72226856</v>
      </c>
      <c r="BI35" s="87">
        <f t="shared" si="369"/>
        <v>66.72226856</v>
      </c>
      <c r="BJ35" s="89">
        <f t="shared" si="100"/>
        <v>0</v>
      </c>
      <c r="BK35" s="86">
        <f t="shared" ref="BK35:BL35" si="370">IFERROR(BK33/BK34,0)</f>
        <v>0</v>
      </c>
      <c r="BL35" s="87">
        <f t="shared" si="370"/>
        <v>0</v>
      </c>
      <c r="BM35" s="89">
        <f t="shared" si="102"/>
        <v>0</v>
      </c>
    </row>
    <row r="36" ht="15.0" customHeight="1" outlineLevel="1">
      <c r="A36" s="69"/>
      <c r="B36" s="70" t="s">
        <v>19</v>
      </c>
      <c r="C36" s="71" t="s">
        <v>6</v>
      </c>
      <c r="D36" s="69"/>
      <c r="E36" s="72">
        <f t="shared" ref="E36:E37" si="371">K36+N36+Q36</f>
        <v>0</v>
      </c>
      <c r="F36" s="73">
        <f t="shared" ref="F36:F37" si="372">U36+X36+AA36+AD36+AG36+AJ36+AM36+AP36+AS36+AV36+AY36+BB36</f>
        <v>0</v>
      </c>
      <c r="G36" s="73">
        <f t="shared" ref="G36:G37" si="373">BF36+BI36+BL36</f>
        <v>0</v>
      </c>
      <c r="H36" s="74">
        <f t="shared" ref="H36:H37" si="374">SUM(E36:G36)</f>
        <v>0</v>
      </c>
      <c r="I36" s="16"/>
      <c r="J36" s="72" t="s">
        <v>7</v>
      </c>
      <c r="K36" s="73"/>
      <c r="L36" s="74" t="s">
        <v>7</v>
      </c>
      <c r="M36" s="72" t="s">
        <v>7</v>
      </c>
      <c r="N36" s="73"/>
      <c r="O36" s="74" t="s">
        <v>7</v>
      </c>
      <c r="P36" s="72" t="s">
        <v>7</v>
      </c>
      <c r="Q36" s="73"/>
      <c r="R36" s="74" t="s">
        <v>7</v>
      </c>
      <c r="S36" s="69"/>
      <c r="T36" s="72" t="s">
        <v>7</v>
      </c>
      <c r="U36" s="73"/>
      <c r="V36" s="74" t="s">
        <v>7</v>
      </c>
      <c r="W36" s="72" t="s">
        <v>7</v>
      </c>
      <c r="X36" s="73"/>
      <c r="Y36" s="74" t="s">
        <v>7</v>
      </c>
      <c r="Z36" s="72"/>
      <c r="AA36" s="73"/>
      <c r="AB36" s="76">
        <f t="shared" si="78"/>
        <v>0</v>
      </c>
      <c r="AC36" s="72"/>
      <c r="AD36" s="73"/>
      <c r="AE36" s="76">
        <f t="shared" si="80"/>
        <v>0</v>
      </c>
      <c r="AF36" s="72"/>
      <c r="AG36" s="73"/>
      <c r="AH36" s="76">
        <f t="shared" si="82"/>
        <v>0</v>
      </c>
      <c r="AI36" s="72"/>
      <c r="AJ36" s="73"/>
      <c r="AK36" s="76">
        <f t="shared" si="84"/>
        <v>0</v>
      </c>
      <c r="AL36" s="72"/>
      <c r="AM36" s="73"/>
      <c r="AN36" s="76">
        <f t="shared" si="86"/>
        <v>0</v>
      </c>
      <c r="AO36" s="72"/>
      <c r="AP36" s="73"/>
      <c r="AQ36" s="76">
        <f t="shared" si="88"/>
        <v>0</v>
      </c>
      <c r="AR36" s="72"/>
      <c r="AS36" s="73"/>
      <c r="AT36" s="76">
        <f t="shared" si="90"/>
        <v>0</v>
      </c>
      <c r="AU36" s="72"/>
      <c r="AV36" s="73"/>
      <c r="AW36" s="76">
        <f t="shared" si="92"/>
        <v>0</v>
      </c>
      <c r="AX36" s="72"/>
      <c r="AY36" s="73"/>
      <c r="AZ36" s="76">
        <f t="shared" si="94"/>
        <v>0</v>
      </c>
      <c r="BA36" s="72"/>
      <c r="BB36" s="73"/>
      <c r="BC36" s="76">
        <f t="shared" si="96"/>
        <v>0</v>
      </c>
      <c r="BD36" s="16"/>
      <c r="BE36" s="72"/>
      <c r="BF36" s="73"/>
      <c r="BG36" s="76">
        <f t="shared" si="98"/>
        <v>0</v>
      </c>
      <c r="BH36" s="72"/>
      <c r="BI36" s="73"/>
      <c r="BJ36" s="76">
        <f t="shared" si="100"/>
        <v>0</v>
      </c>
      <c r="BK36" s="72"/>
      <c r="BL36" s="73"/>
      <c r="BM36" s="76">
        <f t="shared" si="102"/>
        <v>0</v>
      </c>
    </row>
    <row r="37" ht="15.0" customHeight="1" outlineLevel="1">
      <c r="A37" s="69"/>
      <c r="B37" s="20"/>
      <c r="C37" s="77" t="s">
        <v>8</v>
      </c>
      <c r="D37" s="69"/>
      <c r="E37" s="78">
        <f t="shared" si="371"/>
        <v>0</v>
      </c>
      <c r="F37" s="79">
        <f t="shared" si="372"/>
        <v>0</v>
      </c>
      <c r="G37" s="79">
        <f t="shared" si="373"/>
        <v>0</v>
      </c>
      <c r="H37" s="80">
        <f t="shared" si="374"/>
        <v>0</v>
      </c>
      <c r="I37" s="16"/>
      <c r="J37" s="78" t="s">
        <v>7</v>
      </c>
      <c r="K37" s="79"/>
      <c r="L37" s="80" t="s">
        <v>7</v>
      </c>
      <c r="M37" s="78" t="s">
        <v>7</v>
      </c>
      <c r="N37" s="79"/>
      <c r="O37" s="80" t="s">
        <v>7</v>
      </c>
      <c r="P37" s="78" t="s">
        <v>7</v>
      </c>
      <c r="Q37" s="79"/>
      <c r="R37" s="80" t="s">
        <v>7</v>
      </c>
      <c r="S37" s="69"/>
      <c r="T37" s="78" t="s">
        <v>7</v>
      </c>
      <c r="U37" s="79"/>
      <c r="V37" s="80" t="s">
        <v>7</v>
      </c>
      <c r="W37" s="78" t="s">
        <v>7</v>
      </c>
      <c r="X37" s="79"/>
      <c r="Y37" s="80" t="s">
        <v>7</v>
      </c>
      <c r="Z37" s="78"/>
      <c r="AA37" s="79"/>
      <c r="AB37" s="82">
        <f t="shared" si="78"/>
        <v>0</v>
      </c>
      <c r="AC37" s="78"/>
      <c r="AD37" s="79"/>
      <c r="AE37" s="82">
        <f t="shared" si="80"/>
        <v>0</v>
      </c>
      <c r="AF37" s="78"/>
      <c r="AG37" s="79"/>
      <c r="AH37" s="82">
        <f t="shared" si="82"/>
        <v>0</v>
      </c>
      <c r="AI37" s="78"/>
      <c r="AJ37" s="79"/>
      <c r="AK37" s="82">
        <f t="shared" si="84"/>
        <v>0</v>
      </c>
      <c r="AL37" s="78"/>
      <c r="AM37" s="79"/>
      <c r="AN37" s="82">
        <f t="shared" si="86"/>
        <v>0</v>
      </c>
      <c r="AO37" s="78"/>
      <c r="AP37" s="79"/>
      <c r="AQ37" s="82">
        <f t="shared" si="88"/>
        <v>0</v>
      </c>
      <c r="AR37" s="78"/>
      <c r="AS37" s="79"/>
      <c r="AT37" s="82">
        <f t="shared" si="90"/>
        <v>0</v>
      </c>
      <c r="AU37" s="78"/>
      <c r="AV37" s="79"/>
      <c r="AW37" s="82">
        <f t="shared" si="92"/>
        <v>0</v>
      </c>
      <c r="AX37" s="78"/>
      <c r="AY37" s="79"/>
      <c r="AZ37" s="82">
        <f t="shared" si="94"/>
        <v>0</v>
      </c>
      <c r="BA37" s="78"/>
      <c r="BB37" s="79"/>
      <c r="BC37" s="82">
        <f t="shared" si="96"/>
        <v>0</v>
      </c>
      <c r="BD37" s="16"/>
      <c r="BE37" s="78"/>
      <c r="BF37" s="79"/>
      <c r="BG37" s="82">
        <f t="shared" si="98"/>
        <v>0</v>
      </c>
      <c r="BH37" s="78"/>
      <c r="BI37" s="79"/>
      <c r="BJ37" s="82">
        <f t="shared" si="100"/>
        <v>0</v>
      </c>
      <c r="BK37" s="78"/>
      <c r="BL37" s="79"/>
      <c r="BM37" s="82">
        <f t="shared" si="102"/>
        <v>0</v>
      </c>
    </row>
    <row r="38" ht="15.75" customHeight="1" outlineLevel="1">
      <c r="A38" s="84"/>
      <c r="B38" s="26"/>
      <c r="C38" s="85" t="s">
        <v>9</v>
      </c>
      <c r="D38" s="84"/>
      <c r="E38" s="86">
        <f t="shared" ref="E38:H38" si="375">IFERROR(E36/E37,0)</f>
        <v>0</v>
      </c>
      <c r="F38" s="87">
        <f t="shared" si="375"/>
        <v>0</v>
      </c>
      <c r="G38" s="87">
        <f t="shared" si="375"/>
        <v>0</v>
      </c>
      <c r="H38" s="88">
        <f t="shared" si="375"/>
        <v>0</v>
      </c>
      <c r="I38" s="31"/>
      <c r="J38" s="86" t="s">
        <v>7</v>
      </c>
      <c r="K38" s="87">
        <f>IFERROR(K36/K37,0)</f>
        <v>0</v>
      </c>
      <c r="L38" s="88" t="s">
        <v>7</v>
      </c>
      <c r="M38" s="86" t="s">
        <v>7</v>
      </c>
      <c r="N38" s="87">
        <f>IFERROR(N36/N37,0)</f>
        <v>0</v>
      </c>
      <c r="O38" s="88" t="s">
        <v>7</v>
      </c>
      <c r="P38" s="86" t="s">
        <v>7</v>
      </c>
      <c r="Q38" s="87">
        <f>IFERROR(Q36/Q37,0)</f>
        <v>0</v>
      </c>
      <c r="R38" s="88" t="s">
        <v>7</v>
      </c>
      <c r="S38" s="84"/>
      <c r="T38" s="86" t="s">
        <v>7</v>
      </c>
      <c r="U38" s="87">
        <f>IFERROR(U36/U37,0)</f>
        <v>0</v>
      </c>
      <c r="V38" s="88" t="s">
        <v>7</v>
      </c>
      <c r="W38" s="86" t="s">
        <v>7</v>
      </c>
      <c r="X38" s="87">
        <f>IFERROR(X36/X37,0)</f>
        <v>0</v>
      </c>
      <c r="Y38" s="88" t="s">
        <v>7</v>
      </c>
      <c r="Z38" s="86">
        <f t="shared" ref="Z38:AA38" si="376">IFERROR(Z36/Z37,0)</f>
        <v>0</v>
      </c>
      <c r="AA38" s="87">
        <f t="shared" si="376"/>
        <v>0</v>
      </c>
      <c r="AB38" s="89">
        <f t="shared" si="78"/>
        <v>0</v>
      </c>
      <c r="AC38" s="86">
        <f t="shared" ref="AC38:AD38" si="377">IFERROR(AC36/AC37,0)</f>
        <v>0</v>
      </c>
      <c r="AD38" s="87">
        <f t="shared" si="377"/>
        <v>0</v>
      </c>
      <c r="AE38" s="89">
        <f t="shared" si="80"/>
        <v>0</v>
      </c>
      <c r="AF38" s="86">
        <f t="shared" ref="AF38:AG38" si="378">IFERROR(AF36/AF37,0)</f>
        <v>0</v>
      </c>
      <c r="AG38" s="87">
        <f t="shared" si="378"/>
        <v>0</v>
      </c>
      <c r="AH38" s="89">
        <f t="shared" si="82"/>
        <v>0</v>
      </c>
      <c r="AI38" s="86">
        <f t="shared" ref="AI38:AJ38" si="379">IFERROR(AI36/AI37,0)</f>
        <v>0</v>
      </c>
      <c r="AJ38" s="87">
        <f t="shared" si="379"/>
        <v>0</v>
      </c>
      <c r="AK38" s="89">
        <f t="shared" si="84"/>
        <v>0</v>
      </c>
      <c r="AL38" s="86">
        <f t="shared" ref="AL38:AM38" si="380">IFERROR(AL36/AL37,0)</f>
        <v>0</v>
      </c>
      <c r="AM38" s="87">
        <f t="shared" si="380"/>
        <v>0</v>
      </c>
      <c r="AN38" s="89">
        <f t="shared" si="86"/>
        <v>0</v>
      </c>
      <c r="AO38" s="86">
        <f t="shared" ref="AO38:AP38" si="381">IFERROR(AO36/AO37,0)</f>
        <v>0</v>
      </c>
      <c r="AP38" s="87">
        <f t="shared" si="381"/>
        <v>0</v>
      </c>
      <c r="AQ38" s="89">
        <f t="shared" si="88"/>
        <v>0</v>
      </c>
      <c r="AR38" s="86">
        <f t="shared" ref="AR38:AS38" si="382">IFERROR(AR36/AR37,0)</f>
        <v>0</v>
      </c>
      <c r="AS38" s="87">
        <f t="shared" si="382"/>
        <v>0</v>
      </c>
      <c r="AT38" s="89">
        <f t="shared" si="90"/>
        <v>0</v>
      </c>
      <c r="AU38" s="86">
        <f t="shared" ref="AU38:AV38" si="383">IFERROR(AU36/AU37,0)</f>
        <v>0</v>
      </c>
      <c r="AV38" s="87">
        <f t="shared" si="383"/>
        <v>0</v>
      </c>
      <c r="AW38" s="89">
        <f t="shared" si="92"/>
        <v>0</v>
      </c>
      <c r="AX38" s="86">
        <f t="shared" ref="AX38:AY38" si="384">IFERROR(AX36/AX37,0)</f>
        <v>0</v>
      </c>
      <c r="AY38" s="87">
        <f t="shared" si="384"/>
        <v>0</v>
      </c>
      <c r="AZ38" s="89">
        <f t="shared" si="94"/>
        <v>0</v>
      </c>
      <c r="BA38" s="86">
        <f t="shared" ref="BA38:BB38" si="385">IFERROR(BA36/BA37,0)</f>
        <v>0</v>
      </c>
      <c r="BB38" s="87">
        <f t="shared" si="385"/>
        <v>0</v>
      </c>
      <c r="BC38" s="89">
        <f t="shared" si="96"/>
        <v>0</v>
      </c>
      <c r="BD38" s="31"/>
      <c r="BE38" s="86">
        <f t="shared" ref="BE38:BF38" si="386">IFERROR(BE36/BE37,0)</f>
        <v>0</v>
      </c>
      <c r="BF38" s="87">
        <f t="shared" si="386"/>
        <v>0</v>
      </c>
      <c r="BG38" s="89">
        <f t="shared" si="98"/>
        <v>0</v>
      </c>
      <c r="BH38" s="86">
        <f t="shared" ref="BH38:BI38" si="387">IFERROR(BH36/BH37,0)</f>
        <v>0</v>
      </c>
      <c r="BI38" s="87">
        <f t="shared" si="387"/>
        <v>0</v>
      </c>
      <c r="BJ38" s="89">
        <f t="shared" si="100"/>
        <v>0</v>
      </c>
      <c r="BK38" s="86">
        <f t="shared" ref="BK38:BL38" si="388">IFERROR(BK36/BK37,0)</f>
        <v>0</v>
      </c>
      <c r="BL38" s="87">
        <f t="shared" si="388"/>
        <v>0</v>
      </c>
      <c r="BM38" s="89">
        <f t="shared" si="102"/>
        <v>0</v>
      </c>
    </row>
    <row r="39" ht="15.75" customHeight="1" outlineLevel="1">
      <c r="A39" s="69"/>
      <c r="B39" s="70" t="s">
        <v>20</v>
      </c>
      <c r="C39" s="71" t="s">
        <v>6</v>
      </c>
      <c r="D39" s="69"/>
      <c r="E39" s="72">
        <f t="shared" ref="E39:E40" si="389">K39+N39+Q39</f>
        <v>0</v>
      </c>
      <c r="F39" s="73">
        <f t="shared" ref="F39:F40" si="390">U39+X39+AA39+AD39+AG39+AJ39+AM39+AP39+AS39+AV39+AY39+BB39</f>
        <v>135000</v>
      </c>
      <c r="G39" s="73">
        <f t="shared" ref="G39:G40" si="391">BF39+BI39+BL39</f>
        <v>30000</v>
      </c>
      <c r="H39" s="74">
        <f t="shared" ref="H39:H40" si="392">SUM(E39:G39)</f>
        <v>165000</v>
      </c>
      <c r="I39" s="16"/>
      <c r="J39" s="72" t="s">
        <v>7</v>
      </c>
      <c r="K39" s="73"/>
      <c r="L39" s="74" t="s">
        <v>7</v>
      </c>
      <c r="M39" s="72" t="s">
        <v>7</v>
      </c>
      <c r="N39" s="73"/>
      <c r="O39" s="74" t="s">
        <v>7</v>
      </c>
      <c r="P39" s="72" t="s">
        <v>7</v>
      </c>
      <c r="Q39" s="73"/>
      <c r="R39" s="74" t="s">
        <v>7</v>
      </c>
      <c r="S39" s="69"/>
      <c r="T39" s="72" t="s">
        <v>7</v>
      </c>
      <c r="U39" s="73"/>
      <c r="V39" s="74" t="s">
        <v>7</v>
      </c>
      <c r="W39" s="72" t="s">
        <v>7</v>
      </c>
      <c r="X39" s="73"/>
      <c r="Y39" s="74" t="s">
        <v>7</v>
      </c>
      <c r="Z39" s="72">
        <v>8891.0</v>
      </c>
      <c r="AA39" s="75">
        <v>0.0</v>
      </c>
      <c r="AB39" s="76">
        <f t="shared" si="78"/>
        <v>-1</v>
      </c>
      <c r="AC39" s="93">
        <v>15000.0</v>
      </c>
      <c r="AD39" s="75">
        <v>15000.0</v>
      </c>
      <c r="AE39" s="76">
        <f t="shared" si="80"/>
        <v>0</v>
      </c>
      <c r="AF39" s="93">
        <v>15000.0</v>
      </c>
      <c r="AG39" s="75">
        <v>15000.0</v>
      </c>
      <c r="AH39" s="76">
        <f t="shared" si="82"/>
        <v>0</v>
      </c>
      <c r="AI39" s="93">
        <v>15000.0</v>
      </c>
      <c r="AJ39" s="75">
        <v>15000.0</v>
      </c>
      <c r="AK39" s="76">
        <f t="shared" si="84"/>
        <v>0</v>
      </c>
      <c r="AL39" s="93">
        <v>15000.0</v>
      </c>
      <c r="AM39" s="75">
        <v>15000.0</v>
      </c>
      <c r="AN39" s="76">
        <f t="shared" si="86"/>
        <v>0</v>
      </c>
      <c r="AO39" s="93">
        <v>15000.0</v>
      </c>
      <c r="AP39" s="75">
        <v>15000.0</v>
      </c>
      <c r="AQ39" s="76">
        <f t="shared" si="88"/>
        <v>0</v>
      </c>
      <c r="AR39" s="93">
        <v>15000.0</v>
      </c>
      <c r="AS39" s="75">
        <v>15000.0</v>
      </c>
      <c r="AT39" s="76">
        <f t="shared" si="90"/>
        <v>0</v>
      </c>
      <c r="AU39" s="93">
        <v>15000.0</v>
      </c>
      <c r="AV39" s="75">
        <v>15000.0</v>
      </c>
      <c r="AW39" s="76">
        <f t="shared" si="92"/>
        <v>0</v>
      </c>
      <c r="AX39" s="93">
        <v>15000.0</v>
      </c>
      <c r="AY39" s="75">
        <v>15000.0</v>
      </c>
      <c r="AZ39" s="76">
        <f t="shared" si="94"/>
        <v>0</v>
      </c>
      <c r="BA39" s="93">
        <v>15000.0</v>
      </c>
      <c r="BB39" s="75">
        <v>15000.0</v>
      </c>
      <c r="BC39" s="76">
        <f t="shared" si="96"/>
        <v>0</v>
      </c>
      <c r="BD39" s="16"/>
      <c r="BE39" s="93">
        <v>15000.0</v>
      </c>
      <c r="BF39" s="75">
        <v>15000.0</v>
      </c>
      <c r="BG39" s="76">
        <f t="shared" si="98"/>
        <v>0</v>
      </c>
      <c r="BH39" s="93">
        <v>15000.0</v>
      </c>
      <c r="BI39" s="75">
        <v>15000.0</v>
      </c>
      <c r="BJ39" s="76">
        <f t="shared" si="100"/>
        <v>0</v>
      </c>
      <c r="BK39" s="72"/>
      <c r="BL39" s="73"/>
      <c r="BM39" s="76">
        <f t="shared" si="102"/>
        <v>0</v>
      </c>
    </row>
    <row r="40" ht="15.75" customHeight="1" outlineLevel="1">
      <c r="A40" s="69"/>
      <c r="B40" s="20"/>
      <c r="C40" s="77" t="s">
        <v>8</v>
      </c>
      <c r="D40" s="69"/>
      <c r="E40" s="78">
        <f t="shared" si="389"/>
        <v>0</v>
      </c>
      <c r="F40" s="79">
        <f t="shared" si="390"/>
        <v>2250</v>
      </c>
      <c r="G40" s="79">
        <f t="shared" si="391"/>
        <v>500</v>
      </c>
      <c r="H40" s="80">
        <f t="shared" si="392"/>
        <v>2750</v>
      </c>
      <c r="I40" s="16"/>
      <c r="J40" s="78" t="s">
        <v>7</v>
      </c>
      <c r="K40" s="79"/>
      <c r="L40" s="80" t="s">
        <v>7</v>
      </c>
      <c r="M40" s="78" t="s">
        <v>7</v>
      </c>
      <c r="N40" s="79"/>
      <c r="O40" s="80" t="s">
        <v>7</v>
      </c>
      <c r="P40" s="78" t="s">
        <v>7</v>
      </c>
      <c r="Q40" s="79"/>
      <c r="R40" s="80" t="s">
        <v>7</v>
      </c>
      <c r="S40" s="69"/>
      <c r="T40" s="78" t="s">
        <v>7</v>
      </c>
      <c r="U40" s="79"/>
      <c r="V40" s="80" t="s">
        <v>7</v>
      </c>
      <c r="W40" s="78" t="s">
        <v>7</v>
      </c>
      <c r="X40" s="79"/>
      <c r="Y40" s="80" t="s">
        <v>7</v>
      </c>
      <c r="Z40" s="78">
        <v>170.0</v>
      </c>
      <c r="AA40" s="81">
        <v>0.0</v>
      </c>
      <c r="AB40" s="82">
        <f t="shared" si="78"/>
        <v>-1</v>
      </c>
      <c r="AC40" s="78">
        <f t="shared" ref="AC40:AD40" si="393">AC39/60</f>
        <v>250</v>
      </c>
      <c r="AD40" s="79">
        <f t="shared" si="393"/>
        <v>250</v>
      </c>
      <c r="AE40" s="82">
        <f t="shared" si="80"/>
        <v>0</v>
      </c>
      <c r="AF40" s="78">
        <f t="shared" ref="AF40:AG40" si="394">AF39/60</f>
        <v>250</v>
      </c>
      <c r="AG40" s="79">
        <f t="shared" si="394"/>
        <v>250</v>
      </c>
      <c r="AH40" s="82">
        <f t="shared" si="82"/>
        <v>0</v>
      </c>
      <c r="AI40" s="78">
        <f t="shared" ref="AI40:AJ40" si="395">AI39/60</f>
        <v>250</v>
      </c>
      <c r="AJ40" s="79">
        <f t="shared" si="395"/>
        <v>250</v>
      </c>
      <c r="AK40" s="82">
        <f t="shared" si="84"/>
        <v>0</v>
      </c>
      <c r="AL40" s="78">
        <f t="shared" ref="AL40:AM40" si="396">AL39/60</f>
        <v>250</v>
      </c>
      <c r="AM40" s="79">
        <f t="shared" si="396"/>
        <v>250</v>
      </c>
      <c r="AN40" s="82">
        <f t="shared" si="86"/>
        <v>0</v>
      </c>
      <c r="AO40" s="78">
        <f t="shared" ref="AO40:AP40" si="397">AO39/60</f>
        <v>250</v>
      </c>
      <c r="AP40" s="79">
        <f t="shared" si="397"/>
        <v>250</v>
      </c>
      <c r="AQ40" s="82">
        <f t="shared" si="88"/>
        <v>0</v>
      </c>
      <c r="AR40" s="78">
        <f t="shared" ref="AR40:AS40" si="398">AR39/60</f>
        <v>250</v>
      </c>
      <c r="AS40" s="79">
        <f t="shared" si="398"/>
        <v>250</v>
      </c>
      <c r="AT40" s="82">
        <f t="shared" si="90"/>
        <v>0</v>
      </c>
      <c r="AU40" s="78">
        <f t="shared" ref="AU40:AV40" si="399">AU39/60</f>
        <v>250</v>
      </c>
      <c r="AV40" s="79">
        <f t="shared" si="399"/>
        <v>250</v>
      </c>
      <c r="AW40" s="82">
        <f t="shared" si="92"/>
        <v>0</v>
      </c>
      <c r="AX40" s="78">
        <f t="shared" ref="AX40:AY40" si="400">AX39/60</f>
        <v>250</v>
      </c>
      <c r="AY40" s="79">
        <f t="shared" si="400"/>
        <v>250</v>
      </c>
      <c r="AZ40" s="82">
        <f t="shared" si="94"/>
        <v>0</v>
      </c>
      <c r="BA40" s="78">
        <f t="shared" ref="BA40:BB40" si="401">BA39/60</f>
        <v>250</v>
      </c>
      <c r="BB40" s="79">
        <f t="shared" si="401"/>
        <v>250</v>
      </c>
      <c r="BC40" s="82">
        <f t="shared" si="96"/>
        <v>0</v>
      </c>
      <c r="BD40" s="16"/>
      <c r="BE40" s="78">
        <f t="shared" ref="BE40:BF40" si="402">BE39/60</f>
        <v>250</v>
      </c>
      <c r="BF40" s="79">
        <f t="shared" si="402"/>
        <v>250</v>
      </c>
      <c r="BG40" s="82">
        <f t="shared" si="98"/>
        <v>0</v>
      </c>
      <c r="BH40" s="78">
        <f t="shared" ref="BH40:BI40" si="403">BH39/60</f>
        <v>250</v>
      </c>
      <c r="BI40" s="79">
        <f t="shared" si="403"/>
        <v>250</v>
      </c>
      <c r="BJ40" s="82">
        <f t="shared" si="100"/>
        <v>0</v>
      </c>
      <c r="BK40" s="78"/>
      <c r="BL40" s="79"/>
      <c r="BM40" s="82">
        <f t="shared" si="102"/>
        <v>0</v>
      </c>
    </row>
    <row r="41" ht="15.75" customHeight="1" outlineLevel="1">
      <c r="A41" s="84"/>
      <c r="B41" s="26"/>
      <c r="C41" s="85" t="s">
        <v>9</v>
      </c>
      <c r="D41" s="84"/>
      <c r="E41" s="86">
        <f t="shared" ref="E41:H41" si="404">IFERROR(E39/E40,0)</f>
        <v>0</v>
      </c>
      <c r="F41" s="87">
        <f t="shared" si="404"/>
        <v>60</v>
      </c>
      <c r="G41" s="87">
        <f t="shared" si="404"/>
        <v>60</v>
      </c>
      <c r="H41" s="88">
        <f t="shared" si="404"/>
        <v>60</v>
      </c>
      <c r="I41" s="31"/>
      <c r="J41" s="86" t="s">
        <v>7</v>
      </c>
      <c r="K41" s="87">
        <f>IFERROR(K39/K40,0)</f>
        <v>0</v>
      </c>
      <c r="L41" s="88" t="s">
        <v>7</v>
      </c>
      <c r="M41" s="86" t="s">
        <v>7</v>
      </c>
      <c r="N41" s="87">
        <f>IFERROR(N39/N40,0)</f>
        <v>0</v>
      </c>
      <c r="O41" s="88" t="s">
        <v>7</v>
      </c>
      <c r="P41" s="86" t="s">
        <v>7</v>
      </c>
      <c r="Q41" s="87">
        <f>IFERROR(Q39/Q40,0)</f>
        <v>0</v>
      </c>
      <c r="R41" s="88" t="s">
        <v>7</v>
      </c>
      <c r="S41" s="84"/>
      <c r="T41" s="86" t="s">
        <v>7</v>
      </c>
      <c r="U41" s="87">
        <f>IFERROR(U39/U40,0)</f>
        <v>0</v>
      </c>
      <c r="V41" s="88" t="s">
        <v>7</v>
      </c>
      <c r="W41" s="86" t="s">
        <v>7</v>
      </c>
      <c r="X41" s="87">
        <f>IFERROR(X39/X40,0)</f>
        <v>0</v>
      </c>
      <c r="Y41" s="88" t="s">
        <v>7</v>
      </c>
      <c r="Z41" s="86">
        <f t="shared" ref="Z41:AA41" si="405">IFERROR(Z39/Z40,0)</f>
        <v>52.3</v>
      </c>
      <c r="AA41" s="87">
        <f t="shared" si="405"/>
        <v>0</v>
      </c>
      <c r="AB41" s="89">
        <f t="shared" si="78"/>
        <v>-1</v>
      </c>
      <c r="AC41" s="86">
        <f t="shared" ref="AC41:AD41" si="406">IFERROR(AC39/AC40,0)</f>
        <v>60</v>
      </c>
      <c r="AD41" s="87">
        <f t="shared" si="406"/>
        <v>60</v>
      </c>
      <c r="AE41" s="89">
        <f t="shared" si="80"/>
        <v>0</v>
      </c>
      <c r="AF41" s="86">
        <f t="shared" ref="AF41:AG41" si="407">IFERROR(AF39/AF40,0)</f>
        <v>60</v>
      </c>
      <c r="AG41" s="87">
        <f t="shared" si="407"/>
        <v>60</v>
      </c>
      <c r="AH41" s="89">
        <f t="shared" si="82"/>
        <v>0</v>
      </c>
      <c r="AI41" s="86">
        <f t="shared" ref="AI41:AJ41" si="408">IFERROR(AI39/AI40,0)</f>
        <v>60</v>
      </c>
      <c r="AJ41" s="87">
        <f t="shared" si="408"/>
        <v>60</v>
      </c>
      <c r="AK41" s="89">
        <f t="shared" si="84"/>
        <v>0</v>
      </c>
      <c r="AL41" s="86">
        <f t="shared" ref="AL41:AM41" si="409">IFERROR(AL39/AL40,0)</f>
        <v>60</v>
      </c>
      <c r="AM41" s="87">
        <f t="shared" si="409"/>
        <v>60</v>
      </c>
      <c r="AN41" s="89">
        <f t="shared" si="86"/>
        <v>0</v>
      </c>
      <c r="AO41" s="86">
        <f t="shared" ref="AO41:AP41" si="410">IFERROR(AO39/AO40,0)</f>
        <v>60</v>
      </c>
      <c r="AP41" s="87">
        <f t="shared" si="410"/>
        <v>60</v>
      </c>
      <c r="AQ41" s="89">
        <f t="shared" si="88"/>
        <v>0</v>
      </c>
      <c r="AR41" s="86">
        <f t="shared" ref="AR41:AS41" si="411">IFERROR(AR39/AR40,0)</f>
        <v>60</v>
      </c>
      <c r="AS41" s="87">
        <f t="shared" si="411"/>
        <v>60</v>
      </c>
      <c r="AT41" s="89">
        <f t="shared" si="90"/>
        <v>0</v>
      </c>
      <c r="AU41" s="86">
        <f t="shared" ref="AU41:AV41" si="412">IFERROR(AU39/AU40,0)</f>
        <v>60</v>
      </c>
      <c r="AV41" s="87">
        <f t="shared" si="412"/>
        <v>60</v>
      </c>
      <c r="AW41" s="89">
        <f t="shared" si="92"/>
        <v>0</v>
      </c>
      <c r="AX41" s="86">
        <f t="shared" ref="AX41:AY41" si="413">IFERROR(AX39/AX40,0)</f>
        <v>60</v>
      </c>
      <c r="AY41" s="87">
        <f t="shared" si="413"/>
        <v>60</v>
      </c>
      <c r="AZ41" s="89">
        <f t="shared" si="94"/>
        <v>0</v>
      </c>
      <c r="BA41" s="86">
        <f t="shared" ref="BA41:BB41" si="414">IFERROR(BA39/BA40,0)</f>
        <v>60</v>
      </c>
      <c r="BB41" s="87">
        <f t="shared" si="414"/>
        <v>60</v>
      </c>
      <c r="BC41" s="89">
        <f t="shared" si="96"/>
        <v>0</v>
      </c>
      <c r="BD41" s="31"/>
      <c r="BE41" s="86">
        <f t="shared" ref="BE41:BF41" si="415">IFERROR(BE39/BE40,0)</f>
        <v>60</v>
      </c>
      <c r="BF41" s="87">
        <f t="shared" si="415"/>
        <v>60</v>
      </c>
      <c r="BG41" s="89">
        <f t="shared" si="98"/>
        <v>0</v>
      </c>
      <c r="BH41" s="86">
        <f t="shared" ref="BH41:BI41" si="416">IFERROR(BH39/BH40,0)</f>
        <v>60</v>
      </c>
      <c r="BI41" s="87">
        <f t="shared" si="416"/>
        <v>60</v>
      </c>
      <c r="BJ41" s="89">
        <f t="shared" si="100"/>
        <v>0</v>
      </c>
      <c r="BK41" s="86">
        <f t="shared" ref="BK41:BL41" si="417">IFERROR(BK39/BK40,0)</f>
        <v>0</v>
      </c>
      <c r="BL41" s="87">
        <f t="shared" si="417"/>
        <v>0</v>
      </c>
      <c r="BM41" s="89">
        <f t="shared" si="102"/>
        <v>0</v>
      </c>
    </row>
    <row r="42" ht="15.75" customHeight="1" outlineLevel="1">
      <c r="A42" s="69"/>
      <c r="B42" s="70" t="s">
        <v>21</v>
      </c>
      <c r="C42" s="71" t="s">
        <v>6</v>
      </c>
      <c r="D42" s="69"/>
      <c r="E42" s="72">
        <f t="shared" ref="E42:E43" si="418">K42+N42+Q42</f>
        <v>0</v>
      </c>
      <c r="F42" s="73">
        <f t="shared" ref="F42:F43" si="419">U42+X42+AA42+AD42+AG42+AJ42+AM42+AP42+AS42+AV42+AY42+BB42</f>
        <v>265367.04</v>
      </c>
      <c r="G42" s="73">
        <f t="shared" ref="G42:G43" si="420">BF42+BI42+BL42</f>
        <v>50000</v>
      </c>
      <c r="H42" s="74">
        <f t="shared" ref="H42:H43" si="421">SUM(E42:G42)</f>
        <v>315367.04</v>
      </c>
      <c r="I42" s="16"/>
      <c r="J42" s="72" t="s">
        <v>7</v>
      </c>
      <c r="K42" s="73"/>
      <c r="L42" s="74" t="s">
        <v>7</v>
      </c>
      <c r="M42" s="72" t="s">
        <v>7</v>
      </c>
      <c r="N42" s="73"/>
      <c r="O42" s="74" t="s">
        <v>7</v>
      </c>
      <c r="P42" s="72" t="s">
        <v>7</v>
      </c>
      <c r="Q42" s="73"/>
      <c r="R42" s="74" t="s">
        <v>7</v>
      </c>
      <c r="S42" s="69"/>
      <c r="T42" s="72" t="s">
        <v>7</v>
      </c>
      <c r="U42" s="73">
        <v>10968.35</v>
      </c>
      <c r="V42" s="74" t="s">
        <v>7</v>
      </c>
      <c r="W42" s="72" t="s">
        <v>7</v>
      </c>
      <c r="X42" s="73">
        <v>19411.69</v>
      </c>
      <c r="Y42" s="74" t="s">
        <v>7</v>
      </c>
      <c r="Z42" s="93">
        <v>10000.0</v>
      </c>
      <c r="AA42" s="75">
        <v>9987.0</v>
      </c>
      <c r="AB42" s="76">
        <f t="shared" si="78"/>
        <v>-0.0013</v>
      </c>
      <c r="AC42" s="93">
        <v>25000.0</v>
      </c>
      <c r="AD42" s="75">
        <v>25000.0</v>
      </c>
      <c r="AE42" s="76">
        <f t="shared" si="80"/>
        <v>0</v>
      </c>
      <c r="AF42" s="93">
        <v>25000.0</v>
      </c>
      <c r="AG42" s="75">
        <v>25000.0</v>
      </c>
      <c r="AH42" s="76">
        <f t="shared" si="82"/>
        <v>0</v>
      </c>
      <c r="AI42" s="93">
        <v>25000.0</v>
      </c>
      <c r="AJ42" s="75">
        <v>25000.0</v>
      </c>
      <c r="AK42" s="76">
        <f t="shared" si="84"/>
        <v>0</v>
      </c>
      <c r="AL42" s="93">
        <v>25000.0</v>
      </c>
      <c r="AM42" s="75">
        <v>25000.0</v>
      </c>
      <c r="AN42" s="76">
        <f t="shared" si="86"/>
        <v>0</v>
      </c>
      <c r="AO42" s="93">
        <v>25000.0</v>
      </c>
      <c r="AP42" s="75">
        <v>25000.0</v>
      </c>
      <c r="AQ42" s="76">
        <f t="shared" si="88"/>
        <v>0</v>
      </c>
      <c r="AR42" s="93">
        <v>25000.0</v>
      </c>
      <c r="AS42" s="75">
        <v>25000.0</v>
      </c>
      <c r="AT42" s="76">
        <f t="shared" si="90"/>
        <v>0</v>
      </c>
      <c r="AU42" s="93">
        <v>25000.0</v>
      </c>
      <c r="AV42" s="75">
        <v>25000.0</v>
      </c>
      <c r="AW42" s="76">
        <f t="shared" si="92"/>
        <v>0</v>
      </c>
      <c r="AX42" s="93">
        <v>25000.0</v>
      </c>
      <c r="AY42" s="75">
        <v>25000.0</v>
      </c>
      <c r="AZ42" s="76">
        <f t="shared" si="94"/>
        <v>0</v>
      </c>
      <c r="BA42" s="93">
        <v>25000.0</v>
      </c>
      <c r="BB42" s="75">
        <v>25000.0</v>
      </c>
      <c r="BC42" s="76">
        <f t="shared" si="96"/>
        <v>0</v>
      </c>
      <c r="BD42" s="16"/>
      <c r="BE42" s="93">
        <v>25000.0</v>
      </c>
      <c r="BF42" s="75">
        <v>25000.0</v>
      </c>
      <c r="BG42" s="76">
        <f t="shared" si="98"/>
        <v>0</v>
      </c>
      <c r="BH42" s="93">
        <v>25000.0</v>
      </c>
      <c r="BI42" s="75">
        <v>25000.0</v>
      </c>
      <c r="BJ42" s="76">
        <f t="shared" si="100"/>
        <v>0</v>
      </c>
      <c r="BK42" s="72"/>
      <c r="BL42" s="73"/>
      <c r="BM42" s="76">
        <f t="shared" si="102"/>
        <v>0</v>
      </c>
    </row>
    <row r="43" ht="15.75" customHeight="1" outlineLevel="1">
      <c r="A43" s="69"/>
      <c r="B43" s="20"/>
      <c r="C43" s="77" t="s">
        <v>8</v>
      </c>
      <c r="D43" s="69"/>
      <c r="E43" s="78">
        <f t="shared" si="418"/>
        <v>0</v>
      </c>
      <c r="F43" s="79">
        <f t="shared" si="419"/>
        <v>3787</v>
      </c>
      <c r="G43" s="79">
        <f t="shared" si="420"/>
        <v>833.3333333</v>
      </c>
      <c r="H43" s="80">
        <f t="shared" si="421"/>
        <v>4620.333333</v>
      </c>
      <c r="I43" s="16"/>
      <c r="J43" s="78" t="s">
        <v>7</v>
      </c>
      <c r="K43" s="79"/>
      <c r="L43" s="80" t="s">
        <v>7</v>
      </c>
      <c r="M43" s="78" t="s">
        <v>7</v>
      </c>
      <c r="N43" s="79"/>
      <c r="O43" s="80" t="s">
        <v>7</v>
      </c>
      <c r="P43" s="78" t="s">
        <v>7</v>
      </c>
      <c r="Q43" s="79"/>
      <c r="R43" s="80" t="s">
        <v>7</v>
      </c>
      <c r="S43" s="69"/>
      <c r="T43" s="78" t="s">
        <v>7</v>
      </c>
      <c r="U43" s="79">
        <v>6.0</v>
      </c>
      <c r="V43" s="80" t="s">
        <v>7</v>
      </c>
      <c r="W43" s="78" t="s">
        <v>7</v>
      </c>
      <c r="X43" s="79">
        <v>9.0</v>
      </c>
      <c r="Y43" s="80" t="s">
        <v>7</v>
      </c>
      <c r="Z43" s="78">
        <v>111.0</v>
      </c>
      <c r="AA43" s="81">
        <v>22.0</v>
      </c>
      <c r="AB43" s="82">
        <f t="shared" si="78"/>
        <v>-0.8018018018</v>
      </c>
      <c r="AC43" s="78">
        <f t="shared" ref="AC43:AD43" si="422">AC42/60</f>
        <v>416.6666667</v>
      </c>
      <c r="AD43" s="79">
        <f t="shared" si="422"/>
        <v>416.6666667</v>
      </c>
      <c r="AE43" s="82">
        <f t="shared" si="80"/>
        <v>0</v>
      </c>
      <c r="AF43" s="78">
        <f t="shared" ref="AF43:AG43" si="423">AF42/60</f>
        <v>416.6666667</v>
      </c>
      <c r="AG43" s="79">
        <f t="shared" si="423"/>
        <v>416.6666667</v>
      </c>
      <c r="AH43" s="82">
        <f t="shared" si="82"/>
        <v>0</v>
      </c>
      <c r="AI43" s="78">
        <f t="shared" ref="AI43:AJ43" si="424">AI42/60</f>
        <v>416.6666667</v>
      </c>
      <c r="AJ43" s="79">
        <f t="shared" si="424"/>
        <v>416.6666667</v>
      </c>
      <c r="AK43" s="82">
        <f t="shared" si="84"/>
        <v>0</v>
      </c>
      <c r="AL43" s="78">
        <f t="shared" ref="AL43:AM43" si="425">AL42/60</f>
        <v>416.6666667</v>
      </c>
      <c r="AM43" s="79">
        <f t="shared" si="425"/>
        <v>416.6666667</v>
      </c>
      <c r="AN43" s="82">
        <f t="shared" si="86"/>
        <v>0</v>
      </c>
      <c r="AO43" s="78">
        <f t="shared" ref="AO43:AP43" si="426">AO42/60</f>
        <v>416.6666667</v>
      </c>
      <c r="AP43" s="79">
        <f t="shared" si="426"/>
        <v>416.6666667</v>
      </c>
      <c r="AQ43" s="82">
        <f t="shared" si="88"/>
        <v>0</v>
      </c>
      <c r="AR43" s="78">
        <f t="shared" ref="AR43:AS43" si="427">AR42/60</f>
        <v>416.6666667</v>
      </c>
      <c r="AS43" s="79">
        <f t="shared" si="427"/>
        <v>416.6666667</v>
      </c>
      <c r="AT43" s="82">
        <f t="shared" si="90"/>
        <v>0</v>
      </c>
      <c r="AU43" s="78">
        <f t="shared" ref="AU43:AV43" si="428">AU42/60</f>
        <v>416.6666667</v>
      </c>
      <c r="AV43" s="79">
        <f t="shared" si="428"/>
        <v>416.6666667</v>
      </c>
      <c r="AW43" s="82">
        <f t="shared" si="92"/>
        <v>0</v>
      </c>
      <c r="AX43" s="78">
        <f t="shared" ref="AX43:AY43" si="429">AX42/60</f>
        <v>416.6666667</v>
      </c>
      <c r="AY43" s="79">
        <f t="shared" si="429"/>
        <v>416.6666667</v>
      </c>
      <c r="AZ43" s="82">
        <f t="shared" si="94"/>
        <v>0</v>
      </c>
      <c r="BA43" s="78">
        <f t="shared" ref="BA43:BB43" si="430">BA42/60</f>
        <v>416.6666667</v>
      </c>
      <c r="BB43" s="79">
        <f t="shared" si="430"/>
        <v>416.6666667</v>
      </c>
      <c r="BC43" s="82">
        <f t="shared" si="96"/>
        <v>0</v>
      </c>
      <c r="BD43" s="16"/>
      <c r="BE43" s="78">
        <f t="shared" ref="BE43:BF43" si="431">BE42/60</f>
        <v>416.6666667</v>
      </c>
      <c r="BF43" s="79">
        <f t="shared" si="431"/>
        <v>416.6666667</v>
      </c>
      <c r="BG43" s="82">
        <f t="shared" si="98"/>
        <v>0</v>
      </c>
      <c r="BH43" s="78">
        <f t="shared" ref="BH43:BI43" si="432">BH42/60</f>
        <v>416.6666667</v>
      </c>
      <c r="BI43" s="79">
        <f t="shared" si="432"/>
        <v>416.6666667</v>
      </c>
      <c r="BJ43" s="82">
        <f t="shared" si="100"/>
        <v>0</v>
      </c>
      <c r="BK43" s="78"/>
      <c r="BL43" s="79"/>
      <c r="BM43" s="82">
        <f t="shared" si="102"/>
        <v>0</v>
      </c>
    </row>
    <row r="44" ht="15.75" customHeight="1" outlineLevel="1">
      <c r="A44" s="84"/>
      <c r="B44" s="26"/>
      <c r="C44" s="85" t="s">
        <v>9</v>
      </c>
      <c r="D44" s="84"/>
      <c r="E44" s="86">
        <f t="shared" ref="E44:H44" si="433">IFERROR(E42/E43,0)</f>
        <v>0</v>
      </c>
      <c r="F44" s="87">
        <f t="shared" si="433"/>
        <v>70.07315553</v>
      </c>
      <c r="G44" s="87">
        <f t="shared" si="433"/>
        <v>60</v>
      </c>
      <c r="H44" s="88">
        <f t="shared" si="433"/>
        <v>68.25633937</v>
      </c>
      <c r="I44" s="31"/>
      <c r="J44" s="86" t="s">
        <v>7</v>
      </c>
      <c r="K44" s="87">
        <f>IFERROR(K42/K43,0)</f>
        <v>0</v>
      </c>
      <c r="L44" s="88" t="s">
        <v>7</v>
      </c>
      <c r="M44" s="86" t="s">
        <v>7</v>
      </c>
      <c r="N44" s="87">
        <f>IFERROR(N42/N43,0)</f>
        <v>0</v>
      </c>
      <c r="O44" s="88" t="s">
        <v>7</v>
      </c>
      <c r="P44" s="86" t="s">
        <v>7</v>
      </c>
      <c r="Q44" s="87">
        <f>IFERROR(Q42/Q43,0)</f>
        <v>0</v>
      </c>
      <c r="R44" s="88" t="s">
        <v>7</v>
      </c>
      <c r="S44" s="84"/>
      <c r="T44" s="86" t="s">
        <v>7</v>
      </c>
      <c r="U44" s="87">
        <f>IFERROR(U42/U43,0)</f>
        <v>1828.058333</v>
      </c>
      <c r="V44" s="88" t="s">
        <v>7</v>
      </c>
      <c r="W44" s="86" t="s">
        <v>7</v>
      </c>
      <c r="X44" s="87">
        <f>IFERROR(X42/X43,0)</f>
        <v>2156.854444</v>
      </c>
      <c r="Y44" s="88" t="s">
        <v>7</v>
      </c>
      <c r="Z44" s="86">
        <f t="shared" ref="Z44:AA44" si="434">IFERROR(Z42/Z43,0)</f>
        <v>90.09009009</v>
      </c>
      <c r="AA44" s="87">
        <f t="shared" si="434"/>
        <v>453.9545455</v>
      </c>
      <c r="AB44" s="89">
        <f t="shared" si="78"/>
        <v>4.038895455</v>
      </c>
      <c r="AC44" s="86">
        <f t="shared" ref="AC44:AD44" si="435">IFERROR(AC42/AC43,0)</f>
        <v>60</v>
      </c>
      <c r="AD44" s="87">
        <f t="shared" si="435"/>
        <v>60</v>
      </c>
      <c r="AE44" s="89">
        <f t="shared" si="80"/>
        <v>0</v>
      </c>
      <c r="AF44" s="86">
        <f t="shared" ref="AF44:AG44" si="436">IFERROR(AF42/AF43,0)</f>
        <v>60</v>
      </c>
      <c r="AG44" s="87">
        <f t="shared" si="436"/>
        <v>60</v>
      </c>
      <c r="AH44" s="89">
        <f t="shared" si="82"/>
        <v>0</v>
      </c>
      <c r="AI44" s="86">
        <f t="shared" ref="AI44:AJ44" si="437">IFERROR(AI42/AI43,0)</f>
        <v>60</v>
      </c>
      <c r="AJ44" s="87">
        <f t="shared" si="437"/>
        <v>60</v>
      </c>
      <c r="AK44" s="89">
        <f t="shared" si="84"/>
        <v>0</v>
      </c>
      <c r="AL44" s="86">
        <f t="shared" ref="AL44:AM44" si="438">IFERROR(AL42/AL43,0)</f>
        <v>60</v>
      </c>
      <c r="AM44" s="87">
        <f t="shared" si="438"/>
        <v>60</v>
      </c>
      <c r="AN44" s="89">
        <f t="shared" si="86"/>
        <v>0</v>
      </c>
      <c r="AO44" s="86">
        <f t="shared" ref="AO44:AP44" si="439">IFERROR(AO42/AO43,0)</f>
        <v>60</v>
      </c>
      <c r="AP44" s="87">
        <f t="shared" si="439"/>
        <v>60</v>
      </c>
      <c r="AQ44" s="89">
        <f t="shared" si="88"/>
        <v>0</v>
      </c>
      <c r="AR44" s="86">
        <f t="shared" ref="AR44:AS44" si="440">IFERROR(AR42/AR43,0)</f>
        <v>60</v>
      </c>
      <c r="AS44" s="87">
        <f t="shared" si="440"/>
        <v>60</v>
      </c>
      <c r="AT44" s="89">
        <f t="shared" si="90"/>
        <v>0</v>
      </c>
      <c r="AU44" s="86">
        <f t="shared" ref="AU44:AV44" si="441">IFERROR(AU42/AU43,0)</f>
        <v>60</v>
      </c>
      <c r="AV44" s="87">
        <f t="shared" si="441"/>
        <v>60</v>
      </c>
      <c r="AW44" s="89">
        <f t="shared" si="92"/>
        <v>0</v>
      </c>
      <c r="AX44" s="86">
        <f t="shared" ref="AX44:AY44" si="442">IFERROR(AX42/AX43,0)</f>
        <v>60</v>
      </c>
      <c r="AY44" s="87">
        <f t="shared" si="442"/>
        <v>60</v>
      </c>
      <c r="AZ44" s="89">
        <f t="shared" si="94"/>
        <v>0</v>
      </c>
      <c r="BA44" s="86">
        <f t="shared" ref="BA44:BB44" si="443">IFERROR(BA42/BA43,0)</f>
        <v>60</v>
      </c>
      <c r="BB44" s="87">
        <f t="shared" si="443"/>
        <v>60</v>
      </c>
      <c r="BC44" s="89">
        <f t="shared" si="96"/>
        <v>0</v>
      </c>
      <c r="BD44" s="31"/>
      <c r="BE44" s="86">
        <f t="shared" ref="BE44:BF44" si="444">IFERROR(BE42/BE43,0)</f>
        <v>60</v>
      </c>
      <c r="BF44" s="87">
        <f t="shared" si="444"/>
        <v>60</v>
      </c>
      <c r="BG44" s="89">
        <f t="shared" si="98"/>
        <v>0</v>
      </c>
      <c r="BH44" s="86">
        <f t="shared" ref="BH44:BI44" si="445">IFERROR(BH42/BH43,0)</f>
        <v>60</v>
      </c>
      <c r="BI44" s="87">
        <f t="shared" si="445"/>
        <v>60</v>
      </c>
      <c r="BJ44" s="89">
        <f t="shared" si="100"/>
        <v>0</v>
      </c>
      <c r="BK44" s="86">
        <f t="shared" ref="BK44:BL44" si="446">IFERROR(BK42/BK43,0)</f>
        <v>0</v>
      </c>
      <c r="BL44" s="87">
        <f t="shared" si="446"/>
        <v>0</v>
      </c>
      <c r="BM44" s="89">
        <f t="shared" si="102"/>
        <v>0</v>
      </c>
    </row>
    <row r="45" ht="15.75" customHeight="1" outlineLevel="1">
      <c r="A45" s="69"/>
      <c r="B45" s="94" t="s">
        <v>22</v>
      </c>
      <c r="C45" s="71" t="s">
        <v>6</v>
      </c>
      <c r="D45" s="69"/>
      <c r="E45" s="72">
        <f t="shared" ref="E45:E46" si="447">K45+N45+Q45</f>
        <v>0</v>
      </c>
      <c r="F45" s="73">
        <f t="shared" ref="F45:F46" si="448">U45+X45+AA45+AD45+AG45+AJ45+AM45+AP45+AS45+AV45+AY45+BB45</f>
        <v>98441.59</v>
      </c>
      <c r="G45" s="73">
        <f t="shared" ref="G45:G46" si="449">BF45+BI45+BL45</f>
        <v>20000</v>
      </c>
      <c r="H45" s="74">
        <f t="shared" ref="H45:H46" si="450">SUM(E45:G45)</f>
        <v>118441.59</v>
      </c>
      <c r="I45" s="16"/>
      <c r="J45" s="72" t="s">
        <v>7</v>
      </c>
      <c r="K45" s="73"/>
      <c r="L45" s="74" t="s">
        <v>7</v>
      </c>
      <c r="M45" s="72" t="s">
        <v>7</v>
      </c>
      <c r="N45" s="73"/>
      <c r="O45" s="74" t="s">
        <v>7</v>
      </c>
      <c r="P45" s="72" t="s">
        <v>7</v>
      </c>
      <c r="Q45" s="73"/>
      <c r="R45" s="74" t="s">
        <v>7</v>
      </c>
      <c r="S45" s="69"/>
      <c r="T45" s="72" t="s">
        <v>7</v>
      </c>
      <c r="U45" s="73"/>
      <c r="V45" s="74" t="s">
        <v>7</v>
      </c>
      <c r="W45" s="72" t="s">
        <v>7</v>
      </c>
      <c r="X45" s="73">
        <v>2412.59</v>
      </c>
      <c r="Y45" s="74" t="s">
        <v>7</v>
      </c>
      <c r="Z45" s="93">
        <v>6000.0</v>
      </c>
      <c r="AA45" s="75">
        <v>6029.0</v>
      </c>
      <c r="AB45" s="76">
        <f t="shared" si="78"/>
        <v>0.004833333333</v>
      </c>
      <c r="AC45" s="93">
        <v>10000.0</v>
      </c>
      <c r="AD45" s="75">
        <v>10000.0</v>
      </c>
      <c r="AE45" s="76">
        <f t="shared" si="80"/>
        <v>0</v>
      </c>
      <c r="AF45" s="93">
        <v>10000.0</v>
      </c>
      <c r="AG45" s="75">
        <v>10000.0</v>
      </c>
      <c r="AH45" s="76">
        <f t="shared" si="82"/>
        <v>0</v>
      </c>
      <c r="AI45" s="93">
        <v>10000.0</v>
      </c>
      <c r="AJ45" s="75">
        <v>10000.0</v>
      </c>
      <c r="AK45" s="76">
        <f t="shared" si="84"/>
        <v>0</v>
      </c>
      <c r="AL45" s="93">
        <v>10000.0</v>
      </c>
      <c r="AM45" s="75">
        <v>10000.0</v>
      </c>
      <c r="AN45" s="76">
        <f t="shared" si="86"/>
        <v>0</v>
      </c>
      <c r="AO45" s="93">
        <v>10000.0</v>
      </c>
      <c r="AP45" s="75">
        <v>10000.0</v>
      </c>
      <c r="AQ45" s="76">
        <f t="shared" si="88"/>
        <v>0</v>
      </c>
      <c r="AR45" s="93">
        <v>10000.0</v>
      </c>
      <c r="AS45" s="75">
        <v>10000.0</v>
      </c>
      <c r="AT45" s="76">
        <f t="shared" si="90"/>
        <v>0</v>
      </c>
      <c r="AU45" s="93">
        <v>10000.0</v>
      </c>
      <c r="AV45" s="75">
        <v>10000.0</v>
      </c>
      <c r="AW45" s="76">
        <f t="shared" si="92"/>
        <v>0</v>
      </c>
      <c r="AX45" s="93">
        <v>10000.0</v>
      </c>
      <c r="AY45" s="75">
        <v>10000.0</v>
      </c>
      <c r="AZ45" s="76">
        <f t="shared" si="94"/>
        <v>0</v>
      </c>
      <c r="BA45" s="93">
        <v>10000.0</v>
      </c>
      <c r="BB45" s="75">
        <v>10000.0</v>
      </c>
      <c r="BC45" s="76">
        <f t="shared" si="96"/>
        <v>0</v>
      </c>
      <c r="BD45" s="16"/>
      <c r="BE45" s="93">
        <v>10000.0</v>
      </c>
      <c r="BF45" s="75">
        <v>10000.0</v>
      </c>
      <c r="BG45" s="76">
        <f t="shared" si="98"/>
        <v>0</v>
      </c>
      <c r="BH45" s="93">
        <v>10000.0</v>
      </c>
      <c r="BI45" s="75">
        <v>10000.0</v>
      </c>
      <c r="BJ45" s="76">
        <f t="shared" si="100"/>
        <v>0</v>
      </c>
      <c r="BK45" s="72"/>
      <c r="BL45" s="73"/>
      <c r="BM45" s="76">
        <f t="shared" si="102"/>
        <v>0</v>
      </c>
    </row>
    <row r="46" ht="15.75" customHeight="1" outlineLevel="1">
      <c r="A46" s="69"/>
      <c r="B46" s="20"/>
      <c r="C46" s="77" t="s">
        <v>8</v>
      </c>
      <c r="D46" s="69"/>
      <c r="E46" s="78">
        <f t="shared" si="447"/>
        <v>0</v>
      </c>
      <c r="F46" s="79">
        <f t="shared" si="448"/>
        <v>1511</v>
      </c>
      <c r="G46" s="79">
        <f t="shared" si="449"/>
        <v>333.3333333</v>
      </c>
      <c r="H46" s="80">
        <f t="shared" si="450"/>
        <v>1844.333333</v>
      </c>
      <c r="I46" s="16"/>
      <c r="J46" s="78" t="s">
        <v>7</v>
      </c>
      <c r="K46" s="79"/>
      <c r="L46" s="80" t="s">
        <v>7</v>
      </c>
      <c r="M46" s="78" t="s">
        <v>7</v>
      </c>
      <c r="N46" s="79"/>
      <c r="O46" s="80" t="s">
        <v>7</v>
      </c>
      <c r="P46" s="78" t="s">
        <v>7</v>
      </c>
      <c r="Q46" s="79"/>
      <c r="R46" s="80" t="s">
        <v>7</v>
      </c>
      <c r="S46" s="69"/>
      <c r="T46" s="78" t="s">
        <v>7</v>
      </c>
      <c r="U46" s="79"/>
      <c r="V46" s="80" t="s">
        <v>7</v>
      </c>
      <c r="W46" s="78" t="s">
        <v>7</v>
      </c>
      <c r="X46" s="79">
        <v>1.0</v>
      </c>
      <c r="Y46" s="80" t="s">
        <v>7</v>
      </c>
      <c r="Z46" s="78">
        <v>106.0</v>
      </c>
      <c r="AA46" s="81">
        <v>10.0</v>
      </c>
      <c r="AB46" s="82">
        <f t="shared" si="78"/>
        <v>-0.9056603774</v>
      </c>
      <c r="AC46" s="78">
        <f t="shared" ref="AC46:AD46" si="451">AC45/60</f>
        <v>166.6666667</v>
      </c>
      <c r="AD46" s="79">
        <f t="shared" si="451"/>
        <v>166.6666667</v>
      </c>
      <c r="AE46" s="82">
        <f t="shared" si="80"/>
        <v>0</v>
      </c>
      <c r="AF46" s="78">
        <f t="shared" ref="AF46:AG46" si="452">AF45/60</f>
        <v>166.6666667</v>
      </c>
      <c r="AG46" s="79">
        <f t="shared" si="452"/>
        <v>166.6666667</v>
      </c>
      <c r="AH46" s="82">
        <f t="shared" si="82"/>
        <v>0</v>
      </c>
      <c r="AI46" s="78">
        <f t="shared" ref="AI46:AJ46" si="453">AI45/60</f>
        <v>166.6666667</v>
      </c>
      <c r="AJ46" s="79">
        <f t="shared" si="453"/>
        <v>166.6666667</v>
      </c>
      <c r="AK46" s="82">
        <f t="shared" si="84"/>
        <v>0</v>
      </c>
      <c r="AL46" s="78">
        <f t="shared" ref="AL46:AM46" si="454">AL45/60</f>
        <v>166.6666667</v>
      </c>
      <c r="AM46" s="79">
        <f t="shared" si="454"/>
        <v>166.6666667</v>
      </c>
      <c r="AN46" s="82">
        <f t="shared" si="86"/>
        <v>0</v>
      </c>
      <c r="AO46" s="78">
        <f t="shared" ref="AO46:AP46" si="455">AO45/60</f>
        <v>166.6666667</v>
      </c>
      <c r="AP46" s="79">
        <f t="shared" si="455"/>
        <v>166.6666667</v>
      </c>
      <c r="AQ46" s="82">
        <f t="shared" si="88"/>
        <v>0</v>
      </c>
      <c r="AR46" s="78">
        <f t="shared" ref="AR46:AS46" si="456">AR45/60</f>
        <v>166.6666667</v>
      </c>
      <c r="AS46" s="79">
        <f t="shared" si="456"/>
        <v>166.6666667</v>
      </c>
      <c r="AT46" s="82">
        <f t="shared" si="90"/>
        <v>0</v>
      </c>
      <c r="AU46" s="78">
        <f t="shared" ref="AU46:AV46" si="457">AU45/60</f>
        <v>166.6666667</v>
      </c>
      <c r="AV46" s="79">
        <f t="shared" si="457"/>
        <v>166.6666667</v>
      </c>
      <c r="AW46" s="82">
        <f t="shared" si="92"/>
        <v>0</v>
      </c>
      <c r="AX46" s="78">
        <f t="shared" ref="AX46:AY46" si="458">AX45/60</f>
        <v>166.6666667</v>
      </c>
      <c r="AY46" s="79">
        <f t="shared" si="458"/>
        <v>166.6666667</v>
      </c>
      <c r="AZ46" s="82">
        <f t="shared" si="94"/>
        <v>0</v>
      </c>
      <c r="BA46" s="78">
        <f t="shared" ref="BA46:BB46" si="459">BA45/60</f>
        <v>166.6666667</v>
      </c>
      <c r="BB46" s="79">
        <f t="shared" si="459"/>
        <v>166.6666667</v>
      </c>
      <c r="BC46" s="82">
        <f t="shared" si="96"/>
        <v>0</v>
      </c>
      <c r="BD46" s="16"/>
      <c r="BE46" s="78">
        <f t="shared" ref="BE46:BF46" si="460">BE45/60</f>
        <v>166.6666667</v>
      </c>
      <c r="BF46" s="79">
        <f t="shared" si="460"/>
        <v>166.6666667</v>
      </c>
      <c r="BG46" s="82">
        <f t="shared" si="98"/>
        <v>0</v>
      </c>
      <c r="BH46" s="78">
        <f t="shared" ref="BH46:BI46" si="461">BH45/60</f>
        <v>166.6666667</v>
      </c>
      <c r="BI46" s="79">
        <f t="shared" si="461"/>
        <v>166.6666667</v>
      </c>
      <c r="BJ46" s="82">
        <f t="shared" si="100"/>
        <v>0</v>
      </c>
      <c r="BK46" s="78"/>
      <c r="BL46" s="79"/>
      <c r="BM46" s="82">
        <f t="shared" si="102"/>
        <v>0</v>
      </c>
    </row>
    <row r="47" ht="15.75" customHeight="1" outlineLevel="1">
      <c r="A47" s="84"/>
      <c r="B47" s="26"/>
      <c r="C47" s="85" t="s">
        <v>9</v>
      </c>
      <c r="D47" s="84"/>
      <c r="E47" s="86">
        <f t="shared" ref="E47:H47" si="462">IFERROR(E45/E46,0)</f>
        <v>0</v>
      </c>
      <c r="F47" s="87">
        <f t="shared" si="462"/>
        <v>65.14996029</v>
      </c>
      <c r="G47" s="87">
        <f t="shared" si="462"/>
        <v>60</v>
      </c>
      <c r="H47" s="88">
        <f t="shared" si="462"/>
        <v>64.21918851</v>
      </c>
      <c r="I47" s="31"/>
      <c r="J47" s="86" t="s">
        <v>7</v>
      </c>
      <c r="K47" s="87">
        <f>IFERROR(K45/K46,0)</f>
        <v>0</v>
      </c>
      <c r="L47" s="88" t="s">
        <v>7</v>
      </c>
      <c r="M47" s="86" t="s">
        <v>7</v>
      </c>
      <c r="N47" s="87">
        <f>IFERROR(N45/N46,0)</f>
        <v>0</v>
      </c>
      <c r="O47" s="88" t="s">
        <v>7</v>
      </c>
      <c r="P47" s="86" t="s">
        <v>7</v>
      </c>
      <c r="Q47" s="87">
        <f>IFERROR(Q45/Q46,0)</f>
        <v>0</v>
      </c>
      <c r="R47" s="88" t="s">
        <v>7</v>
      </c>
      <c r="S47" s="84"/>
      <c r="T47" s="86" t="s">
        <v>7</v>
      </c>
      <c r="U47" s="87">
        <f>IFERROR(U45/U46,0)</f>
        <v>0</v>
      </c>
      <c r="V47" s="88" t="s">
        <v>7</v>
      </c>
      <c r="W47" s="86" t="s">
        <v>7</v>
      </c>
      <c r="X47" s="87">
        <f>IFERROR(X45/X46,0)</f>
        <v>2412.59</v>
      </c>
      <c r="Y47" s="88" t="s">
        <v>7</v>
      </c>
      <c r="Z47" s="86">
        <f t="shared" ref="Z47:AA47" si="463">IFERROR(Z45/Z46,0)</f>
        <v>56.60377358</v>
      </c>
      <c r="AA47" s="87">
        <f t="shared" si="463"/>
        <v>602.9</v>
      </c>
      <c r="AB47" s="89">
        <f t="shared" si="78"/>
        <v>9.651233333</v>
      </c>
      <c r="AC47" s="86">
        <f t="shared" ref="AC47:AD47" si="464">IFERROR(AC45/AC46,0)</f>
        <v>60</v>
      </c>
      <c r="AD47" s="87">
        <f t="shared" si="464"/>
        <v>60</v>
      </c>
      <c r="AE47" s="89">
        <f t="shared" si="80"/>
        <v>0</v>
      </c>
      <c r="AF47" s="86">
        <f t="shared" ref="AF47:AG47" si="465">IFERROR(AF45/AF46,0)</f>
        <v>60</v>
      </c>
      <c r="AG47" s="87">
        <f t="shared" si="465"/>
        <v>60</v>
      </c>
      <c r="AH47" s="89">
        <f t="shared" si="82"/>
        <v>0</v>
      </c>
      <c r="AI47" s="86">
        <f t="shared" ref="AI47:AJ47" si="466">IFERROR(AI45/AI46,0)</f>
        <v>60</v>
      </c>
      <c r="AJ47" s="87">
        <f t="shared" si="466"/>
        <v>60</v>
      </c>
      <c r="AK47" s="89">
        <f t="shared" si="84"/>
        <v>0</v>
      </c>
      <c r="AL47" s="86">
        <f t="shared" ref="AL47:AM47" si="467">IFERROR(AL45/AL46,0)</f>
        <v>60</v>
      </c>
      <c r="AM47" s="87">
        <f t="shared" si="467"/>
        <v>60</v>
      </c>
      <c r="AN47" s="89">
        <f t="shared" si="86"/>
        <v>0</v>
      </c>
      <c r="AO47" s="86">
        <f t="shared" ref="AO47:AP47" si="468">IFERROR(AO45/AO46,0)</f>
        <v>60</v>
      </c>
      <c r="AP47" s="87">
        <f t="shared" si="468"/>
        <v>60</v>
      </c>
      <c r="AQ47" s="89">
        <f t="shared" si="88"/>
        <v>0</v>
      </c>
      <c r="AR47" s="86">
        <f t="shared" ref="AR47:AS47" si="469">IFERROR(AR45/AR46,0)</f>
        <v>60</v>
      </c>
      <c r="AS47" s="87">
        <f t="shared" si="469"/>
        <v>60</v>
      </c>
      <c r="AT47" s="89">
        <f t="shared" si="90"/>
        <v>0</v>
      </c>
      <c r="AU47" s="86">
        <f t="shared" ref="AU47:AV47" si="470">IFERROR(AU45/AU46,0)</f>
        <v>60</v>
      </c>
      <c r="AV47" s="87">
        <f t="shared" si="470"/>
        <v>60</v>
      </c>
      <c r="AW47" s="89">
        <f t="shared" si="92"/>
        <v>0</v>
      </c>
      <c r="AX47" s="86">
        <f t="shared" ref="AX47:AY47" si="471">IFERROR(AX45/AX46,0)</f>
        <v>60</v>
      </c>
      <c r="AY47" s="87">
        <f t="shared" si="471"/>
        <v>60</v>
      </c>
      <c r="AZ47" s="89">
        <f t="shared" si="94"/>
        <v>0</v>
      </c>
      <c r="BA47" s="86">
        <f t="shared" ref="BA47:BB47" si="472">IFERROR(BA45/BA46,0)</f>
        <v>60</v>
      </c>
      <c r="BB47" s="87">
        <f t="shared" si="472"/>
        <v>60</v>
      </c>
      <c r="BC47" s="89">
        <f t="shared" si="96"/>
        <v>0</v>
      </c>
      <c r="BD47" s="31"/>
      <c r="BE47" s="86">
        <f t="shared" ref="BE47:BF47" si="473">IFERROR(BE45/BE46,0)</f>
        <v>60</v>
      </c>
      <c r="BF47" s="87">
        <f t="shared" si="473"/>
        <v>60</v>
      </c>
      <c r="BG47" s="89">
        <f t="shared" si="98"/>
        <v>0</v>
      </c>
      <c r="BH47" s="86">
        <f t="shared" ref="BH47:BI47" si="474">IFERROR(BH45/BH46,0)</f>
        <v>60</v>
      </c>
      <c r="BI47" s="87">
        <f t="shared" si="474"/>
        <v>60</v>
      </c>
      <c r="BJ47" s="89">
        <f t="shared" si="100"/>
        <v>0</v>
      </c>
      <c r="BK47" s="86">
        <f t="shared" ref="BK47:BL47" si="475">IFERROR(BK45/BK46,0)</f>
        <v>0</v>
      </c>
      <c r="BL47" s="87">
        <f t="shared" si="475"/>
        <v>0</v>
      </c>
      <c r="BM47" s="89">
        <f t="shared" si="102"/>
        <v>0</v>
      </c>
    </row>
    <row r="48" ht="15.75" customHeight="1" outlineLevel="1">
      <c r="A48" s="2"/>
      <c r="B48" s="53" t="s">
        <v>23</v>
      </c>
      <c r="C48" s="54" t="s">
        <v>6</v>
      </c>
      <c r="D48" s="2"/>
      <c r="E48" s="56">
        <f t="shared" ref="E48:G48" si="476">E51+E54+E57+E60+E63+E66+E69</f>
        <v>0</v>
      </c>
      <c r="F48" s="56">
        <f t="shared" si="476"/>
        <v>299101.8868</v>
      </c>
      <c r="G48" s="56">
        <f t="shared" si="476"/>
        <v>27368.4</v>
      </c>
      <c r="H48" s="57">
        <f t="shared" ref="H48:H49" si="491">SUM(E48:G48)</f>
        <v>326470.2868</v>
      </c>
      <c r="I48" s="16"/>
      <c r="J48" s="55" t="s">
        <v>7</v>
      </c>
      <c r="K48" s="56">
        <f t="shared" ref="K48:K49" si="492">K51+K54+K57+K60+K63+K66</f>
        <v>0</v>
      </c>
      <c r="L48" s="57" t="s">
        <v>7</v>
      </c>
      <c r="M48" s="55" t="s">
        <v>7</v>
      </c>
      <c r="N48" s="56">
        <f t="shared" ref="N48:N49" si="493">N51+N54+N57+N60+N63+N66</f>
        <v>0</v>
      </c>
      <c r="O48" s="57" t="s">
        <v>7</v>
      </c>
      <c r="P48" s="55" t="s">
        <v>7</v>
      </c>
      <c r="Q48" s="56">
        <f t="shared" ref="Q48:Q49" si="494">Q51+Q54+Q57+Q60+Q63+Q66</f>
        <v>0</v>
      </c>
      <c r="R48" s="57" t="s">
        <v>7</v>
      </c>
      <c r="S48" s="2"/>
      <c r="T48" s="55" t="s">
        <v>7</v>
      </c>
      <c r="U48" s="56">
        <f t="shared" ref="U48:U49" si="495">U51+U54+U57+U60+U63+U66</f>
        <v>0</v>
      </c>
      <c r="V48" s="57" t="s">
        <v>7</v>
      </c>
      <c r="W48" s="55" t="s">
        <v>7</v>
      </c>
      <c r="X48" s="56">
        <f t="shared" ref="X48:X49" si="496">X51+X54+X57+X60+X63+X66</f>
        <v>12795.54</v>
      </c>
      <c r="Y48" s="57" t="s">
        <v>7</v>
      </c>
      <c r="Z48" s="55">
        <f t="shared" ref="Z48:AA48" si="477">Z51+Z54+Z57+Z60+Z63+Z66+Z69</f>
        <v>116633</v>
      </c>
      <c r="AA48" s="55">
        <f t="shared" si="477"/>
        <v>86151.54676</v>
      </c>
      <c r="AB48" s="58">
        <f t="shared" si="78"/>
        <v>-0.2613450159</v>
      </c>
      <c r="AC48" s="55">
        <f t="shared" ref="AC48:AD48" si="478">AC51+AC54+AC57+AC60+AC63+AC66+AC69</f>
        <v>59116.65324</v>
      </c>
      <c r="AD48" s="55">
        <f t="shared" si="478"/>
        <v>52183.2</v>
      </c>
      <c r="AE48" s="58">
        <f t="shared" si="80"/>
        <v>-0.1172842652</v>
      </c>
      <c r="AF48" s="55">
        <f t="shared" ref="AF48:AG48" si="479">AF51+AF54+AF57+AF60+AF63+AF66+AF69</f>
        <v>36683.2</v>
      </c>
      <c r="AG48" s="55">
        <f t="shared" si="479"/>
        <v>36683.2</v>
      </c>
      <c r="AH48" s="58">
        <f t="shared" si="82"/>
        <v>0</v>
      </c>
      <c r="AI48" s="55">
        <f t="shared" ref="AI48:AJ48" si="480">AI51+AI54+AI57+AI60+AI63+AI66+AI69</f>
        <v>29183.2</v>
      </c>
      <c r="AJ48" s="55">
        <f t="shared" si="480"/>
        <v>29183.2</v>
      </c>
      <c r="AK48" s="58">
        <f t="shared" si="84"/>
        <v>0</v>
      </c>
      <c r="AL48" s="55">
        <f t="shared" ref="AL48:AM48" si="481">AL51+AL54+AL57+AL60+AL63+AL66+AL69</f>
        <v>13684.2</v>
      </c>
      <c r="AM48" s="55">
        <f t="shared" si="481"/>
        <v>13684.2</v>
      </c>
      <c r="AN48" s="58">
        <f t="shared" si="86"/>
        <v>0</v>
      </c>
      <c r="AO48" s="55">
        <f t="shared" ref="AO48:AP48" si="482">AO51+AO54+AO57+AO60+AO63+AO66+AO69</f>
        <v>13684.2</v>
      </c>
      <c r="AP48" s="55">
        <f t="shared" si="482"/>
        <v>13684.2</v>
      </c>
      <c r="AQ48" s="58">
        <f t="shared" si="88"/>
        <v>0</v>
      </c>
      <c r="AR48" s="55">
        <f t="shared" ref="AR48:AS48" si="483">AR51+AR54+AR57+AR60+AR63+AR66+AR69</f>
        <v>13684.2</v>
      </c>
      <c r="AS48" s="55">
        <f t="shared" si="483"/>
        <v>13684.2</v>
      </c>
      <c r="AT48" s="58">
        <f t="shared" si="90"/>
        <v>0</v>
      </c>
      <c r="AU48" s="55">
        <f t="shared" ref="AU48:AV48" si="484">AU51+AU54+AU57+AU60+AU63+AU66+AU69</f>
        <v>13684.2</v>
      </c>
      <c r="AV48" s="55">
        <f t="shared" si="484"/>
        <v>13684.2</v>
      </c>
      <c r="AW48" s="58">
        <f t="shared" si="92"/>
        <v>0</v>
      </c>
      <c r="AX48" s="55">
        <f t="shared" ref="AX48:AY48" si="485">AX51+AX54+AX57+AX60+AX63+AX66+AX69</f>
        <v>13684.2</v>
      </c>
      <c r="AY48" s="55">
        <f t="shared" si="485"/>
        <v>13684.2</v>
      </c>
      <c r="AZ48" s="58">
        <f t="shared" si="94"/>
        <v>0</v>
      </c>
      <c r="BA48" s="55">
        <f t="shared" ref="BA48:BB48" si="486">BA51+BA54+BA57+BA60+BA63+BA66+BA69</f>
        <v>13684.2</v>
      </c>
      <c r="BB48" s="55">
        <f t="shared" si="486"/>
        <v>13684.2</v>
      </c>
      <c r="BC48" s="58">
        <f t="shared" si="96"/>
        <v>0</v>
      </c>
      <c r="BD48" s="16"/>
      <c r="BE48" s="55">
        <f t="shared" ref="BE48:BF48" si="487">BE51+BE54+BE57+BE60+BE63+BE66+BE69</f>
        <v>13684.2</v>
      </c>
      <c r="BF48" s="55">
        <f t="shared" si="487"/>
        <v>13684.2</v>
      </c>
      <c r="BG48" s="58">
        <f t="shared" si="98"/>
        <v>0</v>
      </c>
      <c r="BH48" s="55">
        <f t="shared" ref="BH48:BI48" si="488">BH51+BH54+BH57+BH60+BH63+BH66+BH69</f>
        <v>13684.2</v>
      </c>
      <c r="BI48" s="55">
        <f t="shared" si="488"/>
        <v>13684.2</v>
      </c>
      <c r="BJ48" s="58">
        <f t="shared" si="100"/>
        <v>0</v>
      </c>
      <c r="BK48" s="55">
        <f t="shared" ref="BK48:BL48" si="489">BK51+BK54+BK57+BK60+BK63+BK66+BK69</f>
        <v>0</v>
      </c>
      <c r="BL48" s="55">
        <f t="shared" si="489"/>
        <v>0</v>
      </c>
      <c r="BM48" s="58">
        <f t="shared" si="102"/>
        <v>0</v>
      </c>
    </row>
    <row r="49" ht="15.75" customHeight="1" outlineLevel="1">
      <c r="A49" s="2"/>
      <c r="B49" s="20"/>
      <c r="C49" s="59" t="s">
        <v>8</v>
      </c>
      <c r="D49" s="2"/>
      <c r="E49" s="61">
        <f t="shared" ref="E49:G49" si="490">E52+E55+E58+E61+E64+E67+E70</f>
        <v>0</v>
      </c>
      <c r="F49" s="61">
        <f t="shared" si="490"/>
        <v>2151</v>
      </c>
      <c r="G49" s="61">
        <f t="shared" si="490"/>
        <v>254</v>
      </c>
      <c r="H49" s="62">
        <f t="shared" si="491"/>
        <v>2405</v>
      </c>
      <c r="I49" s="16"/>
      <c r="J49" s="60" t="s">
        <v>7</v>
      </c>
      <c r="K49" s="61">
        <f t="shared" si="492"/>
        <v>0</v>
      </c>
      <c r="L49" s="62" t="s">
        <v>7</v>
      </c>
      <c r="M49" s="60" t="s">
        <v>7</v>
      </c>
      <c r="N49" s="61">
        <f t="shared" si="493"/>
        <v>0</v>
      </c>
      <c r="O49" s="62" t="s">
        <v>7</v>
      </c>
      <c r="P49" s="60" t="s">
        <v>7</v>
      </c>
      <c r="Q49" s="61">
        <f t="shared" si="494"/>
        <v>0</v>
      </c>
      <c r="R49" s="62" t="s">
        <v>7</v>
      </c>
      <c r="S49" s="2"/>
      <c r="T49" s="60" t="s">
        <v>7</v>
      </c>
      <c r="U49" s="61">
        <f t="shared" si="495"/>
        <v>0</v>
      </c>
      <c r="V49" s="62" t="s">
        <v>7</v>
      </c>
      <c r="W49" s="60" t="s">
        <v>7</v>
      </c>
      <c r="X49" s="61">
        <f t="shared" si="496"/>
        <v>25</v>
      </c>
      <c r="Y49" s="62" t="s">
        <v>7</v>
      </c>
      <c r="Z49" s="60">
        <f t="shared" ref="Z49:AA49" si="497">Z52+Z55+Z58+Z61+Z64+Z67</f>
        <v>994</v>
      </c>
      <c r="AA49" s="61">
        <f t="shared" si="497"/>
        <v>17</v>
      </c>
      <c r="AB49" s="63">
        <f t="shared" si="78"/>
        <v>-0.9828973843</v>
      </c>
      <c r="AC49" s="60">
        <f t="shared" ref="AC49:AD49" si="498">AC52+AC55+AC58+AC61+AC64+AC67</f>
        <v>235</v>
      </c>
      <c r="AD49" s="61">
        <f t="shared" si="498"/>
        <v>325</v>
      </c>
      <c r="AE49" s="63">
        <f t="shared" si="80"/>
        <v>0.3829787234</v>
      </c>
      <c r="AF49" s="60">
        <f t="shared" ref="AF49:AG49" si="499">AF52+AF55+AF58+AF61+AF64+AF67</f>
        <v>167</v>
      </c>
      <c r="AG49" s="61">
        <f t="shared" si="499"/>
        <v>167</v>
      </c>
      <c r="AH49" s="63">
        <f t="shared" si="82"/>
        <v>0</v>
      </c>
      <c r="AI49" s="60">
        <f t="shared" ref="AI49:AJ49" si="500">AI52+AI55+AI58+AI61+AI64+AI67</f>
        <v>127</v>
      </c>
      <c r="AJ49" s="61">
        <f t="shared" si="500"/>
        <v>127</v>
      </c>
      <c r="AK49" s="63">
        <f t="shared" si="84"/>
        <v>0</v>
      </c>
      <c r="AL49" s="60">
        <f t="shared" ref="AL49:AM49" si="501">AL52+AL55+AL58+AL61+AL64+AL67</f>
        <v>127</v>
      </c>
      <c r="AM49" s="61">
        <f t="shared" si="501"/>
        <v>127</v>
      </c>
      <c r="AN49" s="63">
        <f t="shared" si="86"/>
        <v>0</v>
      </c>
      <c r="AO49" s="60">
        <f t="shared" ref="AO49:AP49" si="502">AO52+AO55+AO58+AO61+AO64+AO67</f>
        <v>127</v>
      </c>
      <c r="AP49" s="61">
        <f t="shared" si="502"/>
        <v>127</v>
      </c>
      <c r="AQ49" s="63">
        <f t="shared" si="88"/>
        <v>0</v>
      </c>
      <c r="AR49" s="60">
        <f t="shared" ref="AR49:AS49" si="503">AR52+AR55+AR58+AR61+AR64+AR67</f>
        <v>127</v>
      </c>
      <c r="AS49" s="61">
        <f t="shared" si="503"/>
        <v>127</v>
      </c>
      <c r="AT49" s="63">
        <f t="shared" si="90"/>
        <v>0</v>
      </c>
      <c r="AU49" s="60">
        <f t="shared" ref="AU49:AV49" si="504">AU52+AU55+AU58+AU61+AU64+AU67</f>
        <v>127</v>
      </c>
      <c r="AV49" s="61">
        <f t="shared" si="504"/>
        <v>127</v>
      </c>
      <c r="AW49" s="63">
        <f t="shared" si="92"/>
        <v>0</v>
      </c>
      <c r="AX49" s="60">
        <f t="shared" ref="AX49:AY49" si="505">AX52+AX55+AX58+AX61+AX64+AX67</f>
        <v>127</v>
      </c>
      <c r="AY49" s="61">
        <f t="shared" si="505"/>
        <v>127</v>
      </c>
      <c r="AZ49" s="63">
        <f t="shared" si="94"/>
        <v>0</v>
      </c>
      <c r="BA49" s="60">
        <f t="shared" ref="BA49:BB49" si="506">BA52+BA55+BA58+BA61+BA64+BA67</f>
        <v>127</v>
      </c>
      <c r="BB49" s="61">
        <f t="shared" si="506"/>
        <v>127</v>
      </c>
      <c r="BC49" s="63">
        <f t="shared" si="96"/>
        <v>0</v>
      </c>
      <c r="BD49" s="16"/>
      <c r="BE49" s="60">
        <f t="shared" ref="BE49:BF49" si="507">BE52+BE55+BE58+BE61+BE64+BE67</f>
        <v>127</v>
      </c>
      <c r="BF49" s="61">
        <f t="shared" si="507"/>
        <v>127</v>
      </c>
      <c r="BG49" s="63">
        <f t="shared" si="98"/>
        <v>0</v>
      </c>
      <c r="BH49" s="60">
        <f t="shared" ref="BH49:BI49" si="508">BH52+BH55+BH58+BH61+BH64+BH67</f>
        <v>127</v>
      </c>
      <c r="BI49" s="61">
        <f t="shared" si="508"/>
        <v>127</v>
      </c>
      <c r="BJ49" s="63">
        <f t="shared" si="100"/>
        <v>0</v>
      </c>
      <c r="BK49" s="60">
        <f t="shared" ref="BK49:BL49" si="509">BK52+BK55+BK58+BK61+BK64+BK67</f>
        <v>0</v>
      </c>
      <c r="BL49" s="61">
        <f t="shared" si="509"/>
        <v>0</v>
      </c>
      <c r="BM49" s="63">
        <f t="shared" si="102"/>
        <v>0</v>
      </c>
    </row>
    <row r="50" ht="15.75" customHeight="1" outlineLevel="1">
      <c r="A50" s="2"/>
      <c r="B50" s="26"/>
      <c r="C50" s="64" t="s">
        <v>9</v>
      </c>
      <c r="D50" s="2"/>
      <c r="E50" s="65">
        <f t="shared" ref="E50:H50" si="510">IFERROR(E48/E49,0)</f>
        <v>0</v>
      </c>
      <c r="F50" s="66">
        <f t="shared" si="510"/>
        <v>139.0524811</v>
      </c>
      <c r="G50" s="66">
        <f t="shared" si="510"/>
        <v>107.7496063</v>
      </c>
      <c r="H50" s="67">
        <f t="shared" si="510"/>
        <v>135.746481</v>
      </c>
      <c r="I50" s="31"/>
      <c r="J50" s="65" t="s">
        <v>7</v>
      </c>
      <c r="K50" s="66">
        <f>IFERROR(K48/K49,0)</f>
        <v>0</v>
      </c>
      <c r="L50" s="67" t="s">
        <v>7</v>
      </c>
      <c r="M50" s="65" t="s">
        <v>7</v>
      </c>
      <c r="N50" s="66">
        <f>IFERROR(N48/N49,0)</f>
        <v>0</v>
      </c>
      <c r="O50" s="67" t="s">
        <v>7</v>
      </c>
      <c r="P50" s="65" t="s">
        <v>7</v>
      </c>
      <c r="Q50" s="66">
        <f>IFERROR(Q48/Q49,0)</f>
        <v>0</v>
      </c>
      <c r="R50" s="67" t="s">
        <v>7</v>
      </c>
      <c r="S50" s="2"/>
      <c r="T50" s="65" t="s">
        <v>7</v>
      </c>
      <c r="U50" s="66">
        <f>IFERROR(U48/U49,0)</f>
        <v>0</v>
      </c>
      <c r="V50" s="67" t="s">
        <v>7</v>
      </c>
      <c r="W50" s="65" t="s">
        <v>7</v>
      </c>
      <c r="X50" s="66">
        <f>IFERROR(X48/X49,0)</f>
        <v>511.8216</v>
      </c>
      <c r="Y50" s="67" t="s">
        <v>7</v>
      </c>
      <c r="Z50" s="65">
        <f t="shared" ref="Z50:AA50" si="511">IFERROR(Z48/Z49,0)</f>
        <v>117.3370221</v>
      </c>
      <c r="AA50" s="66">
        <f t="shared" si="511"/>
        <v>5067.738045</v>
      </c>
      <c r="AB50" s="68">
        <f t="shared" si="78"/>
        <v>42.18959142</v>
      </c>
      <c r="AC50" s="65">
        <f t="shared" ref="AC50:AD50" si="512">IFERROR(AC48/AC49,0)</f>
        <v>251.5602265</v>
      </c>
      <c r="AD50" s="66">
        <f t="shared" si="512"/>
        <v>160.5636923</v>
      </c>
      <c r="AE50" s="68">
        <f t="shared" si="80"/>
        <v>-0.3617286225</v>
      </c>
      <c r="AF50" s="65">
        <f t="shared" ref="AF50:AG50" si="513">IFERROR(AF48/AF49,0)</f>
        <v>219.6598802</v>
      </c>
      <c r="AG50" s="66">
        <f t="shared" si="513"/>
        <v>219.6598802</v>
      </c>
      <c r="AH50" s="68">
        <f t="shared" si="82"/>
        <v>0</v>
      </c>
      <c r="AI50" s="65">
        <f t="shared" ref="AI50:AJ50" si="514">IFERROR(AI48/AI49,0)</f>
        <v>229.7889764</v>
      </c>
      <c r="AJ50" s="66">
        <f t="shared" si="514"/>
        <v>229.7889764</v>
      </c>
      <c r="AK50" s="68">
        <f t="shared" si="84"/>
        <v>0</v>
      </c>
      <c r="AL50" s="65">
        <f t="shared" ref="AL50:AM50" si="515">IFERROR(AL48/AL49,0)</f>
        <v>107.7496063</v>
      </c>
      <c r="AM50" s="66">
        <f t="shared" si="515"/>
        <v>107.7496063</v>
      </c>
      <c r="AN50" s="68">
        <f t="shared" si="86"/>
        <v>0</v>
      </c>
      <c r="AO50" s="65">
        <f t="shared" ref="AO50:AP50" si="516">IFERROR(AO48/AO49,0)</f>
        <v>107.7496063</v>
      </c>
      <c r="AP50" s="66">
        <f t="shared" si="516"/>
        <v>107.7496063</v>
      </c>
      <c r="AQ50" s="68">
        <f t="shared" si="88"/>
        <v>0</v>
      </c>
      <c r="AR50" s="65">
        <f t="shared" ref="AR50:AS50" si="517">IFERROR(AR48/AR49,0)</f>
        <v>107.7496063</v>
      </c>
      <c r="AS50" s="66">
        <f t="shared" si="517"/>
        <v>107.7496063</v>
      </c>
      <c r="AT50" s="68">
        <f t="shared" si="90"/>
        <v>0</v>
      </c>
      <c r="AU50" s="65">
        <f t="shared" ref="AU50:AV50" si="518">IFERROR(AU48/AU49,0)</f>
        <v>107.7496063</v>
      </c>
      <c r="AV50" s="66">
        <f t="shared" si="518"/>
        <v>107.7496063</v>
      </c>
      <c r="AW50" s="68">
        <f t="shared" si="92"/>
        <v>0</v>
      </c>
      <c r="AX50" s="65">
        <f t="shared" ref="AX50:AY50" si="519">IFERROR(AX48/AX49,0)</f>
        <v>107.7496063</v>
      </c>
      <c r="AY50" s="66">
        <f t="shared" si="519"/>
        <v>107.7496063</v>
      </c>
      <c r="AZ50" s="68">
        <f t="shared" si="94"/>
        <v>0</v>
      </c>
      <c r="BA50" s="65">
        <f t="shared" ref="BA50:BB50" si="520">IFERROR(BA48/BA49,0)</f>
        <v>107.7496063</v>
      </c>
      <c r="BB50" s="66">
        <f t="shared" si="520"/>
        <v>107.7496063</v>
      </c>
      <c r="BC50" s="68">
        <f t="shared" si="96"/>
        <v>0</v>
      </c>
      <c r="BD50" s="31"/>
      <c r="BE50" s="65">
        <f t="shared" ref="BE50:BF50" si="521">IFERROR(BE48/BE49,0)</f>
        <v>107.7496063</v>
      </c>
      <c r="BF50" s="66">
        <f t="shared" si="521"/>
        <v>107.7496063</v>
      </c>
      <c r="BG50" s="68">
        <f t="shared" si="98"/>
        <v>0</v>
      </c>
      <c r="BH50" s="65">
        <f t="shared" ref="BH50:BI50" si="522">IFERROR(BH48/BH49,0)</f>
        <v>107.7496063</v>
      </c>
      <c r="BI50" s="66">
        <f t="shared" si="522"/>
        <v>107.7496063</v>
      </c>
      <c r="BJ50" s="68">
        <f t="shared" si="100"/>
        <v>0</v>
      </c>
      <c r="BK50" s="65">
        <f t="shared" ref="BK50:BL50" si="523">IFERROR(BK48/BK49,0)</f>
        <v>0</v>
      </c>
      <c r="BL50" s="66">
        <f t="shared" si="523"/>
        <v>0</v>
      </c>
      <c r="BM50" s="68">
        <f t="shared" si="102"/>
        <v>0</v>
      </c>
    </row>
    <row r="51" ht="15.75" customHeight="1" outlineLevel="1">
      <c r="A51" s="69"/>
      <c r="B51" s="70" t="s">
        <v>24</v>
      </c>
      <c r="C51" s="71" t="s">
        <v>6</v>
      </c>
      <c r="D51" s="69"/>
      <c r="E51" s="72">
        <f t="shared" ref="E51:E52" si="524">K51+N51+Q51</f>
        <v>0</v>
      </c>
      <c r="F51" s="73">
        <f t="shared" ref="F51:F52" si="525">U51+X51+AA51+AD51+AG51+AJ51+AM51+AP51+AS51+AV51+AY51+BB51</f>
        <v>61978</v>
      </c>
      <c r="G51" s="73">
        <f t="shared" ref="G51:G52" si="526">BF51+BI51+BL51</f>
        <v>0</v>
      </c>
      <c r="H51" s="74">
        <f t="shared" ref="H51:H52" si="527">SUM(E51:G51)</f>
        <v>61978</v>
      </c>
      <c r="I51" s="16"/>
      <c r="J51" s="72" t="s">
        <v>7</v>
      </c>
      <c r="K51" s="73"/>
      <c r="L51" s="74" t="s">
        <v>7</v>
      </c>
      <c r="M51" s="72" t="s">
        <v>7</v>
      </c>
      <c r="N51" s="73"/>
      <c r="O51" s="74" t="s">
        <v>7</v>
      </c>
      <c r="P51" s="72" t="s">
        <v>7</v>
      </c>
      <c r="Q51" s="73"/>
      <c r="R51" s="74" t="s">
        <v>7</v>
      </c>
      <c r="S51" s="69"/>
      <c r="T51" s="72" t="s">
        <v>7</v>
      </c>
      <c r="U51" s="73"/>
      <c r="V51" s="74" t="s">
        <v>7</v>
      </c>
      <c r="W51" s="72" t="s">
        <v>7</v>
      </c>
      <c r="X51" s="75">
        <v>2845.0</v>
      </c>
      <c r="Y51" s="74" t="s">
        <v>7</v>
      </c>
      <c r="Z51" s="95">
        <v>59133.0</v>
      </c>
      <c r="AA51" s="75">
        <v>59133.0</v>
      </c>
      <c r="AB51" s="76">
        <f t="shared" si="78"/>
        <v>0</v>
      </c>
      <c r="AC51" s="72"/>
      <c r="AD51" s="73"/>
      <c r="AE51" s="76">
        <f t="shared" si="80"/>
        <v>0</v>
      </c>
      <c r="AF51" s="72"/>
      <c r="AG51" s="73"/>
      <c r="AH51" s="76">
        <f t="shared" si="82"/>
        <v>0</v>
      </c>
      <c r="AI51" s="72"/>
      <c r="AJ51" s="73"/>
      <c r="AK51" s="76">
        <f t="shared" si="84"/>
        <v>0</v>
      </c>
      <c r="AL51" s="72"/>
      <c r="AM51" s="73"/>
      <c r="AN51" s="76">
        <f t="shared" si="86"/>
        <v>0</v>
      </c>
      <c r="AO51" s="72"/>
      <c r="AP51" s="73"/>
      <c r="AQ51" s="76">
        <f t="shared" si="88"/>
        <v>0</v>
      </c>
      <c r="AR51" s="72"/>
      <c r="AS51" s="73"/>
      <c r="AT51" s="76">
        <f t="shared" si="90"/>
        <v>0</v>
      </c>
      <c r="AU51" s="72"/>
      <c r="AV51" s="73"/>
      <c r="AW51" s="76">
        <f t="shared" si="92"/>
        <v>0</v>
      </c>
      <c r="AX51" s="72"/>
      <c r="AY51" s="73"/>
      <c r="AZ51" s="76">
        <f t="shared" si="94"/>
        <v>0</v>
      </c>
      <c r="BA51" s="72"/>
      <c r="BB51" s="73"/>
      <c r="BC51" s="76">
        <f t="shared" si="96"/>
        <v>0</v>
      </c>
      <c r="BD51" s="16"/>
      <c r="BE51" s="72"/>
      <c r="BF51" s="73"/>
      <c r="BG51" s="76">
        <f t="shared" si="98"/>
        <v>0</v>
      </c>
      <c r="BH51" s="72"/>
      <c r="BI51" s="73"/>
      <c r="BJ51" s="76">
        <f t="shared" si="100"/>
        <v>0</v>
      </c>
      <c r="BK51" s="72"/>
      <c r="BL51" s="73"/>
      <c r="BM51" s="76">
        <f t="shared" si="102"/>
        <v>0</v>
      </c>
    </row>
    <row r="52" ht="15.75" customHeight="1" outlineLevel="1">
      <c r="A52" s="69"/>
      <c r="B52" s="20"/>
      <c r="C52" s="77" t="s">
        <v>8</v>
      </c>
      <c r="D52" s="69"/>
      <c r="E52" s="78">
        <f t="shared" si="524"/>
        <v>0</v>
      </c>
      <c r="F52" s="79">
        <f t="shared" si="525"/>
        <v>23</v>
      </c>
      <c r="G52" s="79">
        <f t="shared" si="526"/>
        <v>0</v>
      </c>
      <c r="H52" s="80">
        <f t="shared" si="527"/>
        <v>23</v>
      </c>
      <c r="I52" s="16"/>
      <c r="J52" s="78" t="s">
        <v>7</v>
      </c>
      <c r="K52" s="79"/>
      <c r="L52" s="80" t="s">
        <v>7</v>
      </c>
      <c r="M52" s="78" t="s">
        <v>7</v>
      </c>
      <c r="N52" s="79"/>
      <c r="O52" s="80" t="s">
        <v>7</v>
      </c>
      <c r="P52" s="78" t="s">
        <v>7</v>
      </c>
      <c r="Q52" s="79"/>
      <c r="R52" s="80" t="s">
        <v>7</v>
      </c>
      <c r="S52" s="69"/>
      <c r="T52" s="78" t="s">
        <v>7</v>
      </c>
      <c r="U52" s="79"/>
      <c r="V52" s="80" t="s">
        <v>7</v>
      </c>
      <c r="W52" s="78" t="s">
        <v>7</v>
      </c>
      <c r="X52" s="81">
        <v>20.0</v>
      </c>
      <c r="Y52" s="80" t="s">
        <v>7</v>
      </c>
      <c r="Z52" s="92">
        <v>510.0</v>
      </c>
      <c r="AA52" s="96">
        <v>3.0</v>
      </c>
      <c r="AB52" s="82">
        <f t="shared" si="78"/>
        <v>-0.9941176471</v>
      </c>
      <c r="AC52" s="78"/>
      <c r="AD52" s="79"/>
      <c r="AE52" s="82">
        <f t="shared" si="80"/>
        <v>0</v>
      </c>
      <c r="AF52" s="78"/>
      <c r="AG52" s="79"/>
      <c r="AH52" s="82">
        <f t="shared" si="82"/>
        <v>0</v>
      </c>
      <c r="AI52" s="78"/>
      <c r="AJ52" s="79"/>
      <c r="AK52" s="82">
        <f t="shared" si="84"/>
        <v>0</v>
      </c>
      <c r="AL52" s="78"/>
      <c r="AM52" s="79"/>
      <c r="AN52" s="82">
        <f t="shared" si="86"/>
        <v>0</v>
      </c>
      <c r="AO52" s="78"/>
      <c r="AP52" s="79"/>
      <c r="AQ52" s="82">
        <f t="shared" si="88"/>
        <v>0</v>
      </c>
      <c r="AR52" s="78"/>
      <c r="AS52" s="79"/>
      <c r="AT52" s="82">
        <f t="shared" si="90"/>
        <v>0</v>
      </c>
      <c r="AU52" s="78"/>
      <c r="AV52" s="79"/>
      <c r="AW52" s="82">
        <f t="shared" si="92"/>
        <v>0</v>
      </c>
      <c r="AX52" s="78"/>
      <c r="AY52" s="79"/>
      <c r="AZ52" s="82">
        <f t="shared" si="94"/>
        <v>0</v>
      </c>
      <c r="BA52" s="78"/>
      <c r="BB52" s="79"/>
      <c r="BC52" s="82">
        <f t="shared" si="96"/>
        <v>0</v>
      </c>
      <c r="BD52" s="16"/>
      <c r="BE52" s="78"/>
      <c r="BF52" s="79"/>
      <c r="BG52" s="82">
        <f t="shared" si="98"/>
        <v>0</v>
      </c>
      <c r="BH52" s="78"/>
      <c r="BI52" s="79"/>
      <c r="BJ52" s="82">
        <f t="shared" si="100"/>
        <v>0</v>
      </c>
      <c r="BK52" s="78"/>
      <c r="BL52" s="79"/>
      <c r="BM52" s="82">
        <f t="shared" si="102"/>
        <v>0</v>
      </c>
    </row>
    <row r="53" ht="15.75" customHeight="1" outlineLevel="1">
      <c r="A53" s="84"/>
      <c r="B53" s="26"/>
      <c r="C53" s="85" t="s">
        <v>9</v>
      </c>
      <c r="D53" s="84"/>
      <c r="E53" s="86">
        <f t="shared" ref="E53:H53" si="528">IFERROR(E51/E52,0)</f>
        <v>0</v>
      </c>
      <c r="F53" s="87">
        <f t="shared" si="528"/>
        <v>2694.695652</v>
      </c>
      <c r="G53" s="87">
        <f t="shared" si="528"/>
        <v>0</v>
      </c>
      <c r="H53" s="88">
        <f t="shared" si="528"/>
        <v>2694.695652</v>
      </c>
      <c r="I53" s="31"/>
      <c r="J53" s="86" t="s">
        <v>7</v>
      </c>
      <c r="K53" s="87">
        <f>IFERROR(K51/K52,0)</f>
        <v>0</v>
      </c>
      <c r="L53" s="88" t="s">
        <v>7</v>
      </c>
      <c r="M53" s="86" t="s">
        <v>7</v>
      </c>
      <c r="N53" s="87">
        <f>IFERROR(N51/N52,0)</f>
        <v>0</v>
      </c>
      <c r="O53" s="88" t="s">
        <v>7</v>
      </c>
      <c r="P53" s="86" t="s">
        <v>7</v>
      </c>
      <c r="Q53" s="87">
        <f>IFERROR(Q51/Q52,0)</f>
        <v>0</v>
      </c>
      <c r="R53" s="88" t="s">
        <v>7</v>
      </c>
      <c r="S53" s="84"/>
      <c r="T53" s="86" t="s">
        <v>7</v>
      </c>
      <c r="U53" s="87">
        <f>IFERROR(U51/U52,0)</f>
        <v>0</v>
      </c>
      <c r="V53" s="88" t="s">
        <v>7</v>
      </c>
      <c r="W53" s="86" t="s">
        <v>7</v>
      </c>
      <c r="X53" s="87">
        <f>IFERROR(X51/X52,0)</f>
        <v>142.25</v>
      </c>
      <c r="Y53" s="88" t="s">
        <v>7</v>
      </c>
      <c r="Z53" s="86">
        <f t="shared" ref="Z53:AA53" si="529">IFERROR(Z51/Z52,0)</f>
        <v>115.9470588</v>
      </c>
      <c r="AA53" s="87">
        <f t="shared" si="529"/>
        <v>19711</v>
      </c>
      <c r="AB53" s="89">
        <f t="shared" si="78"/>
        <v>169</v>
      </c>
      <c r="AC53" s="86">
        <f t="shared" ref="AC53:AD53" si="530">IFERROR(AC51/AC52,0)</f>
        <v>0</v>
      </c>
      <c r="AD53" s="87">
        <f t="shared" si="530"/>
        <v>0</v>
      </c>
      <c r="AE53" s="89">
        <f t="shared" si="80"/>
        <v>0</v>
      </c>
      <c r="AF53" s="86">
        <f t="shared" ref="AF53:AG53" si="531">IFERROR(AF51/AF52,0)</f>
        <v>0</v>
      </c>
      <c r="AG53" s="87">
        <f t="shared" si="531"/>
        <v>0</v>
      </c>
      <c r="AH53" s="89">
        <f t="shared" si="82"/>
        <v>0</v>
      </c>
      <c r="AI53" s="86">
        <f t="shared" ref="AI53:AJ53" si="532">IFERROR(AI51/AI52,0)</f>
        <v>0</v>
      </c>
      <c r="AJ53" s="87">
        <f t="shared" si="532"/>
        <v>0</v>
      </c>
      <c r="AK53" s="89">
        <f t="shared" si="84"/>
        <v>0</v>
      </c>
      <c r="AL53" s="86">
        <f t="shared" ref="AL53:AM53" si="533">IFERROR(AL51/AL52,0)</f>
        <v>0</v>
      </c>
      <c r="AM53" s="87">
        <f t="shared" si="533"/>
        <v>0</v>
      </c>
      <c r="AN53" s="89">
        <f t="shared" si="86"/>
        <v>0</v>
      </c>
      <c r="AO53" s="86">
        <f t="shared" ref="AO53:AP53" si="534">IFERROR(AO51/AO52,0)</f>
        <v>0</v>
      </c>
      <c r="AP53" s="87">
        <f t="shared" si="534"/>
        <v>0</v>
      </c>
      <c r="AQ53" s="89">
        <f t="shared" si="88"/>
        <v>0</v>
      </c>
      <c r="AR53" s="86">
        <f t="shared" ref="AR53:AS53" si="535">IFERROR(AR51/AR52,0)</f>
        <v>0</v>
      </c>
      <c r="AS53" s="87">
        <f t="shared" si="535"/>
        <v>0</v>
      </c>
      <c r="AT53" s="89">
        <f t="shared" si="90"/>
        <v>0</v>
      </c>
      <c r="AU53" s="86">
        <f t="shared" ref="AU53:AV53" si="536">IFERROR(AU51/AU52,0)</f>
        <v>0</v>
      </c>
      <c r="AV53" s="87">
        <f t="shared" si="536"/>
        <v>0</v>
      </c>
      <c r="AW53" s="89">
        <f t="shared" si="92"/>
        <v>0</v>
      </c>
      <c r="AX53" s="86">
        <f t="shared" ref="AX53:AY53" si="537">IFERROR(AX51/AX52,0)</f>
        <v>0</v>
      </c>
      <c r="AY53" s="87">
        <f t="shared" si="537"/>
        <v>0</v>
      </c>
      <c r="AZ53" s="89">
        <f t="shared" si="94"/>
        <v>0</v>
      </c>
      <c r="BA53" s="86">
        <f t="shared" ref="BA53:BB53" si="538">IFERROR(BA51/BA52,0)</f>
        <v>0</v>
      </c>
      <c r="BB53" s="87">
        <f t="shared" si="538"/>
        <v>0</v>
      </c>
      <c r="BC53" s="89">
        <f t="shared" si="96"/>
        <v>0</v>
      </c>
      <c r="BD53" s="31"/>
      <c r="BE53" s="86">
        <f t="shared" ref="BE53:BF53" si="539">IFERROR(BE51/BE52,0)</f>
        <v>0</v>
      </c>
      <c r="BF53" s="87">
        <f t="shared" si="539"/>
        <v>0</v>
      </c>
      <c r="BG53" s="89">
        <f t="shared" si="98"/>
        <v>0</v>
      </c>
      <c r="BH53" s="86">
        <f t="shared" ref="BH53:BI53" si="540">IFERROR(BH51/BH52,0)</f>
        <v>0</v>
      </c>
      <c r="BI53" s="87">
        <f t="shared" si="540"/>
        <v>0</v>
      </c>
      <c r="BJ53" s="89">
        <f t="shared" si="100"/>
        <v>0</v>
      </c>
      <c r="BK53" s="86">
        <f t="shared" ref="BK53:BL53" si="541">IFERROR(BK51/BK52,0)</f>
        <v>0</v>
      </c>
      <c r="BL53" s="87">
        <f t="shared" si="541"/>
        <v>0</v>
      </c>
      <c r="BM53" s="89">
        <f t="shared" si="102"/>
        <v>0</v>
      </c>
    </row>
    <row r="54" ht="15.75" customHeight="1" outlineLevel="1">
      <c r="A54" s="69"/>
      <c r="B54" s="70" t="s">
        <v>25</v>
      </c>
      <c r="C54" s="71" t="s">
        <v>6</v>
      </c>
      <c r="D54" s="69"/>
      <c r="E54" s="72">
        <f t="shared" ref="E54:E55" si="542">K54+N54+Q54</f>
        <v>0</v>
      </c>
      <c r="F54" s="73">
        <f t="shared" ref="F54:F55" si="543">U54+X54+AA54+AD54+AG54+AJ54+AM54+AP54+AS54+AV54+AY54+BB54</f>
        <v>15000</v>
      </c>
      <c r="G54" s="73">
        <f t="shared" ref="G54:G55" si="544">BF54+BI54+BL54</f>
        <v>0</v>
      </c>
      <c r="H54" s="74">
        <f t="shared" ref="H54:H55" si="545">SUM(E54:G54)</f>
        <v>15000</v>
      </c>
      <c r="I54" s="16"/>
      <c r="J54" s="72" t="s">
        <v>7</v>
      </c>
      <c r="K54" s="73"/>
      <c r="L54" s="74" t="s">
        <v>7</v>
      </c>
      <c r="M54" s="72" t="s">
        <v>7</v>
      </c>
      <c r="N54" s="73"/>
      <c r="O54" s="74" t="s">
        <v>7</v>
      </c>
      <c r="P54" s="72" t="s">
        <v>7</v>
      </c>
      <c r="Q54" s="73"/>
      <c r="R54" s="74" t="s">
        <v>7</v>
      </c>
      <c r="S54" s="69"/>
      <c r="T54" s="72" t="s">
        <v>7</v>
      </c>
      <c r="U54" s="73"/>
      <c r="V54" s="74" t="s">
        <v>7</v>
      </c>
      <c r="W54" s="72" t="s">
        <v>7</v>
      </c>
      <c r="X54" s="73"/>
      <c r="Y54" s="74" t="s">
        <v>7</v>
      </c>
      <c r="Z54" s="72">
        <v>7500.0</v>
      </c>
      <c r="AA54" s="73">
        <v>7500.0</v>
      </c>
      <c r="AB54" s="76">
        <f t="shared" si="78"/>
        <v>0</v>
      </c>
      <c r="AC54" s="72">
        <v>7500.0</v>
      </c>
      <c r="AD54" s="73">
        <v>7500.0</v>
      </c>
      <c r="AE54" s="76">
        <f t="shared" si="80"/>
        <v>0</v>
      </c>
      <c r="AF54" s="72"/>
      <c r="AG54" s="73"/>
      <c r="AH54" s="76">
        <f t="shared" si="82"/>
        <v>0</v>
      </c>
      <c r="AI54" s="72"/>
      <c r="AJ54" s="73"/>
      <c r="AK54" s="76">
        <f t="shared" si="84"/>
        <v>0</v>
      </c>
      <c r="AL54" s="72"/>
      <c r="AM54" s="73"/>
      <c r="AN54" s="76">
        <f t="shared" si="86"/>
        <v>0</v>
      </c>
      <c r="AO54" s="72"/>
      <c r="AP54" s="73"/>
      <c r="AQ54" s="76">
        <f t="shared" si="88"/>
        <v>0</v>
      </c>
      <c r="AR54" s="72"/>
      <c r="AS54" s="73"/>
      <c r="AT54" s="76">
        <f t="shared" si="90"/>
        <v>0</v>
      </c>
      <c r="AU54" s="72"/>
      <c r="AV54" s="73"/>
      <c r="AW54" s="76">
        <f t="shared" si="92"/>
        <v>0</v>
      </c>
      <c r="AX54" s="72"/>
      <c r="AY54" s="73"/>
      <c r="AZ54" s="76">
        <f t="shared" si="94"/>
        <v>0</v>
      </c>
      <c r="BA54" s="72"/>
      <c r="BB54" s="73"/>
      <c r="BC54" s="76">
        <f t="shared" si="96"/>
        <v>0</v>
      </c>
      <c r="BD54" s="16"/>
      <c r="BE54" s="72"/>
      <c r="BF54" s="73"/>
      <c r="BG54" s="76">
        <f t="shared" si="98"/>
        <v>0</v>
      </c>
      <c r="BH54" s="72"/>
      <c r="BI54" s="73"/>
      <c r="BJ54" s="76">
        <f t="shared" si="100"/>
        <v>0</v>
      </c>
      <c r="BK54" s="72"/>
      <c r="BL54" s="73"/>
      <c r="BM54" s="76">
        <f t="shared" si="102"/>
        <v>0</v>
      </c>
    </row>
    <row r="55" ht="15.75" customHeight="1" outlineLevel="1">
      <c r="A55" s="69"/>
      <c r="B55" s="20"/>
      <c r="C55" s="77" t="s">
        <v>8</v>
      </c>
      <c r="D55" s="69"/>
      <c r="E55" s="78">
        <f t="shared" si="542"/>
        <v>0</v>
      </c>
      <c r="F55" s="79">
        <f t="shared" si="543"/>
        <v>71</v>
      </c>
      <c r="G55" s="79">
        <f t="shared" si="544"/>
        <v>0</v>
      </c>
      <c r="H55" s="80">
        <f t="shared" si="545"/>
        <v>71</v>
      </c>
      <c r="I55" s="16"/>
      <c r="J55" s="78" t="s">
        <v>7</v>
      </c>
      <c r="K55" s="79"/>
      <c r="L55" s="80" t="s">
        <v>7</v>
      </c>
      <c r="M55" s="78" t="s">
        <v>7</v>
      </c>
      <c r="N55" s="79"/>
      <c r="O55" s="80" t="s">
        <v>7</v>
      </c>
      <c r="P55" s="78" t="s">
        <v>7</v>
      </c>
      <c r="Q55" s="79"/>
      <c r="R55" s="80" t="s">
        <v>7</v>
      </c>
      <c r="S55" s="69"/>
      <c r="T55" s="78" t="s">
        <v>7</v>
      </c>
      <c r="U55" s="79"/>
      <c r="V55" s="80" t="s">
        <v>7</v>
      </c>
      <c r="W55" s="78" t="s">
        <v>7</v>
      </c>
      <c r="X55" s="79"/>
      <c r="Y55" s="80" t="s">
        <v>7</v>
      </c>
      <c r="Z55" s="78">
        <v>68.0</v>
      </c>
      <c r="AA55" s="78">
        <v>3.0</v>
      </c>
      <c r="AB55" s="82">
        <f t="shared" si="78"/>
        <v>-0.9558823529</v>
      </c>
      <c r="AC55" s="78">
        <v>68.0</v>
      </c>
      <c r="AD55" s="79">
        <v>68.0</v>
      </c>
      <c r="AE55" s="82">
        <f t="shared" si="80"/>
        <v>0</v>
      </c>
      <c r="AF55" s="78"/>
      <c r="AG55" s="79"/>
      <c r="AH55" s="82">
        <f t="shared" si="82"/>
        <v>0</v>
      </c>
      <c r="AI55" s="78"/>
      <c r="AJ55" s="79"/>
      <c r="AK55" s="82">
        <f t="shared" si="84"/>
        <v>0</v>
      </c>
      <c r="AL55" s="78"/>
      <c r="AM55" s="79"/>
      <c r="AN55" s="82">
        <f t="shared" si="86"/>
        <v>0</v>
      </c>
      <c r="AO55" s="78"/>
      <c r="AP55" s="79"/>
      <c r="AQ55" s="82">
        <f t="shared" si="88"/>
        <v>0</v>
      </c>
      <c r="AR55" s="78"/>
      <c r="AS55" s="79"/>
      <c r="AT55" s="82">
        <f t="shared" si="90"/>
        <v>0</v>
      </c>
      <c r="AU55" s="78"/>
      <c r="AV55" s="79"/>
      <c r="AW55" s="82">
        <f t="shared" si="92"/>
        <v>0</v>
      </c>
      <c r="AX55" s="78"/>
      <c r="AY55" s="79"/>
      <c r="AZ55" s="82">
        <f t="shared" si="94"/>
        <v>0</v>
      </c>
      <c r="BA55" s="78"/>
      <c r="BB55" s="79"/>
      <c r="BC55" s="82">
        <f t="shared" si="96"/>
        <v>0</v>
      </c>
      <c r="BD55" s="16"/>
      <c r="BE55" s="78"/>
      <c r="BF55" s="79"/>
      <c r="BG55" s="82">
        <f t="shared" si="98"/>
        <v>0</v>
      </c>
      <c r="BH55" s="78"/>
      <c r="BI55" s="79"/>
      <c r="BJ55" s="82">
        <f t="shared" si="100"/>
        <v>0</v>
      </c>
      <c r="BK55" s="78"/>
      <c r="BL55" s="79"/>
      <c r="BM55" s="82">
        <f t="shared" si="102"/>
        <v>0</v>
      </c>
    </row>
    <row r="56" ht="15.75" customHeight="1" outlineLevel="1">
      <c r="A56" s="84"/>
      <c r="B56" s="26"/>
      <c r="C56" s="85" t="s">
        <v>9</v>
      </c>
      <c r="D56" s="84"/>
      <c r="E56" s="86">
        <f t="shared" ref="E56:H56" si="546">IFERROR(E54/E55,0)</f>
        <v>0</v>
      </c>
      <c r="F56" s="87">
        <f t="shared" si="546"/>
        <v>211.2676056</v>
      </c>
      <c r="G56" s="87">
        <f t="shared" si="546"/>
        <v>0</v>
      </c>
      <c r="H56" s="88">
        <f t="shared" si="546"/>
        <v>211.2676056</v>
      </c>
      <c r="I56" s="31"/>
      <c r="J56" s="86" t="s">
        <v>7</v>
      </c>
      <c r="K56" s="87">
        <f>IFERROR(K54/K55,0)</f>
        <v>0</v>
      </c>
      <c r="L56" s="88" t="s">
        <v>7</v>
      </c>
      <c r="M56" s="86" t="s">
        <v>7</v>
      </c>
      <c r="N56" s="87">
        <f>IFERROR(N54/N55,0)</f>
        <v>0</v>
      </c>
      <c r="O56" s="88" t="s">
        <v>7</v>
      </c>
      <c r="P56" s="86" t="s">
        <v>7</v>
      </c>
      <c r="Q56" s="87">
        <f>IFERROR(Q54/Q55,0)</f>
        <v>0</v>
      </c>
      <c r="R56" s="88" t="s">
        <v>7</v>
      </c>
      <c r="S56" s="84"/>
      <c r="T56" s="86" t="s">
        <v>7</v>
      </c>
      <c r="U56" s="87">
        <f>IFERROR(U54/U55,0)</f>
        <v>0</v>
      </c>
      <c r="V56" s="88" t="s">
        <v>7</v>
      </c>
      <c r="W56" s="86" t="s">
        <v>7</v>
      </c>
      <c r="X56" s="87">
        <f>IFERROR(X54/X55,0)</f>
        <v>0</v>
      </c>
      <c r="Y56" s="88" t="s">
        <v>7</v>
      </c>
      <c r="Z56" s="86">
        <f t="shared" ref="Z56:AA56" si="547">IFERROR(Z54/Z55,0)</f>
        <v>110.2941176</v>
      </c>
      <c r="AA56" s="87">
        <f t="shared" si="547"/>
        <v>2500</v>
      </c>
      <c r="AB56" s="89">
        <f t="shared" si="78"/>
        <v>21.66666667</v>
      </c>
      <c r="AC56" s="86">
        <f t="shared" ref="AC56:AD56" si="548">IFERROR(AC54/AC55,0)</f>
        <v>110.2941176</v>
      </c>
      <c r="AD56" s="87">
        <f t="shared" si="548"/>
        <v>110.2941176</v>
      </c>
      <c r="AE56" s="89">
        <f t="shared" si="80"/>
        <v>0</v>
      </c>
      <c r="AF56" s="86">
        <f t="shared" ref="AF56:AG56" si="549">IFERROR(AF54/AF55,0)</f>
        <v>0</v>
      </c>
      <c r="AG56" s="87">
        <f t="shared" si="549"/>
        <v>0</v>
      </c>
      <c r="AH56" s="89">
        <f t="shared" si="82"/>
        <v>0</v>
      </c>
      <c r="AI56" s="86">
        <f t="shared" ref="AI56:AJ56" si="550">IFERROR(AI54/AI55,0)</f>
        <v>0</v>
      </c>
      <c r="AJ56" s="87">
        <f t="shared" si="550"/>
        <v>0</v>
      </c>
      <c r="AK56" s="89">
        <f t="shared" si="84"/>
        <v>0</v>
      </c>
      <c r="AL56" s="86">
        <f t="shared" ref="AL56:AM56" si="551">IFERROR(AL54/AL55,0)</f>
        <v>0</v>
      </c>
      <c r="AM56" s="87">
        <f t="shared" si="551"/>
        <v>0</v>
      </c>
      <c r="AN56" s="89">
        <f t="shared" si="86"/>
        <v>0</v>
      </c>
      <c r="AO56" s="86">
        <f t="shared" ref="AO56:AP56" si="552">IFERROR(AO54/AO55,0)</f>
        <v>0</v>
      </c>
      <c r="AP56" s="87">
        <f t="shared" si="552"/>
        <v>0</v>
      </c>
      <c r="AQ56" s="89">
        <f t="shared" si="88"/>
        <v>0</v>
      </c>
      <c r="AR56" s="86">
        <f t="shared" ref="AR56:AS56" si="553">IFERROR(AR54/AR55,0)</f>
        <v>0</v>
      </c>
      <c r="AS56" s="87">
        <f t="shared" si="553"/>
        <v>0</v>
      </c>
      <c r="AT56" s="89">
        <f t="shared" si="90"/>
        <v>0</v>
      </c>
      <c r="AU56" s="86">
        <f t="shared" ref="AU56:AV56" si="554">IFERROR(AU54/AU55,0)</f>
        <v>0</v>
      </c>
      <c r="AV56" s="87">
        <f t="shared" si="554"/>
        <v>0</v>
      </c>
      <c r="AW56" s="89">
        <f t="shared" si="92"/>
        <v>0</v>
      </c>
      <c r="AX56" s="86">
        <f t="shared" ref="AX56:AY56" si="555">IFERROR(AX54/AX55,0)</f>
        <v>0</v>
      </c>
      <c r="AY56" s="87">
        <f t="shared" si="555"/>
        <v>0</v>
      </c>
      <c r="AZ56" s="89">
        <f t="shared" si="94"/>
        <v>0</v>
      </c>
      <c r="BA56" s="86">
        <f t="shared" ref="BA56:BB56" si="556">IFERROR(BA54/BA55,0)</f>
        <v>0</v>
      </c>
      <c r="BB56" s="87">
        <f t="shared" si="556"/>
        <v>0</v>
      </c>
      <c r="BC56" s="89">
        <f t="shared" si="96"/>
        <v>0</v>
      </c>
      <c r="BD56" s="31"/>
      <c r="BE56" s="86">
        <f t="shared" ref="BE56:BF56" si="557">IFERROR(BE54/BE55,0)</f>
        <v>0</v>
      </c>
      <c r="BF56" s="87">
        <f t="shared" si="557"/>
        <v>0</v>
      </c>
      <c r="BG56" s="89">
        <f t="shared" si="98"/>
        <v>0</v>
      </c>
      <c r="BH56" s="86">
        <f t="shared" ref="BH56:BI56" si="558">IFERROR(BH54/BH55,0)</f>
        <v>0</v>
      </c>
      <c r="BI56" s="87">
        <f t="shared" si="558"/>
        <v>0</v>
      </c>
      <c r="BJ56" s="89">
        <f t="shared" si="100"/>
        <v>0</v>
      </c>
      <c r="BK56" s="86">
        <f t="shared" ref="BK56:BL56" si="559">IFERROR(BK54/BK55,0)</f>
        <v>0</v>
      </c>
      <c r="BL56" s="87">
        <f t="shared" si="559"/>
        <v>0</v>
      </c>
      <c r="BM56" s="89">
        <f t="shared" si="102"/>
        <v>0</v>
      </c>
    </row>
    <row r="57" ht="15.75" customHeight="1" outlineLevel="1">
      <c r="A57" s="69"/>
      <c r="B57" s="70" t="s">
        <v>26</v>
      </c>
      <c r="C57" s="71" t="s">
        <v>6</v>
      </c>
      <c r="D57" s="69"/>
      <c r="E57" s="72">
        <f t="shared" ref="E57:E58" si="560">K57+N57+Q57</f>
        <v>0</v>
      </c>
      <c r="F57" s="73">
        <f t="shared" ref="F57:F58" si="561">U57+X57+AA57+AD57+AG57+AJ57+AM57+AP57+AS57+AV57+AY57+BB57</f>
        <v>15000</v>
      </c>
      <c r="G57" s="73">
        <f t="shared" ref="G57:G58" si="562">BF57+BI57+BL57</f>
        <v>0</v>
      </c>
      <c r="H57" s="74">
        <f t="shared" ref="H57:H58" si="563">SUM(E57:G57)</f>
        <v>15000</v>
      </c>
      <c r="I57" s="16"/>
      <c r="J57" s="72" t="s">
        <v>7</v>
      </c>
      <c r="K57" s="73"/>
      <c r="L57" s="74" t="s">
        <v>7</v>
      </c>
      <c r="M57" s="72" t="s">
        <v>7</v>
      </c>
      <c r="N57" s="73"/>
      <c r="O57" s="74" t="s">
        <v>7</v>
      </c>
      <c r="P57" s="72" t="s">
        <v>7</v>
      </c>
      <c r="Q57" s="73"/>
      <c r="R57" s="74" t="s">
        <v>7</v>
      </c>
      <c r="S57" s="69"/>
      <c r="T57" s="72" t="s">
        <v>7</v>
      </c>
      <c r="U57" s="73"/>
      <c r="V57" s="74" t="s">
        <v>7</v>
      </c>
      <c r="W57" s="72" t="s">
        <v>7</v>
      </c>
      <c r="X57" s="73"/>
      <c r="Y57" s="74" t="s">
        <v>7</v>
      </c>
      <c r="Z57" s="72">
        <v>7500.0</v>
      </c>
      <c r="AA57" s="75">
        <v>0.0</v>
      </c>
      <c r="AB57" s="76">
        <f t="shared" si="78"/>
        <v>-1</v>
      </c>
      <c r="AC57" s="72">
        <v>7500.0</v>
      </c>
      <c r="AD57" s="73">
        <v>7500.0</v>
      </c>
      <c r="AE57" s="76">
        <f t="shared" si="80"/>
        <v>0</v>
      </c>
      <c r="AF57" s="72">
        <v>7500.0</v>
      </c>
      <c r="AG57" s="73">
        <v>7500.0</v>
      </c>
      <c r="AH57" s="76">
        <f t="shared" si="82"/>
        <v>0</v>
      </c>
      <c r="AI57" s="72"/>
      <c r="AJ57" s="73"/>
      <c r="AK57" s="76">
        <f t="shared" si="84"/>
        <v>0</v>
      </c>
      <c r="AL57" s="72"/>
      <c r="AM57" s="73"/>
      <c r="AN57" s="76">
        <f t="shared" si="86"/>
        <v>0</v>
      </c>
      <c r="AO57" s="72"/>
      <c r="AP57" s="73"/>
      <c r="AQ57" s="76">
        <f t="shared" si="88"/>
        <v>0</v>
      </c>
      <c r="AR57" s="72"/>
      <c r="AS57" s="73"/>
      <c r="AT57" s="76">
        <f t="shared" si="90"/>
        <v>0</v>
      </c>
      <c r="AU57" s="72"/>
      <c r="AV57" s="73"/>
      <c r="AW57" s="76">
        <f t="shared" si="92"/>
        <v>0</v>
      </c>
      <c r="AX57" s="72"/>
      <c r="AY57" s="73"/>
      <c r="AZ57" s="76">
        <f t="shared" si="94"/>
        <v>0</v>
      </c>
      <c r="BA57" s="72"/>
      <c r="BB57" s="73"/>
      <c r="BC57" s="76">
        <f t="shared" si="96"/>
        <v>0</v>
      </c>
      <c r="BD57" s="16"/>
      <c r="BE57" s="72"/>
      <c r="BF57" s="73"/>
      <c r="BG57" s="76">
        <f t="shared" si="98"/>
        <v>0</v>
      </c>
      <c r="BH57" s="72"/>
      <c r="BI57" s="73"/>
      <c r="BJ57" s="76">
        <f t="shared" si="100"/>
        <v>0</v>
      </c>
      <c r="BK57" s="72"/>
      <c r="BL57" s="73"/>
      <c r="BM57" s="76">
        <f t="shared" si="102"/>
        <v>0</v>
      </c>
    </row>
    <row r="58" ht="15.75" customHeight="1" outlineLevel="1">
      <c r="A58" s="69"/>
      <c r="B58" s="20"/>
      <c r="C58" s="77" t="s">
        <v>8</v>
      </c>
      <c r="D58" s="69"/>
      <c r="E58" s="78">
        <f t="shared" si="560"/>
        <v>0</v>
      </c>
      <c r="F58" s="79">
        <f t="shared" si="561"/>
        <v>80</v>
      </c>
      <c r="G58" s="79">
        <f t="shared" si="562"/>
        <v>0</v>
      </c>
      <c r="H58" s="80">
        <f t="shared" si="563"/>
        <v>80</v>
      </c>
      <c r="I58" s="16"/>
      <c r="J58" s="78" t="s">
        <v>7</v>
      </c>
      <c r="K58" s="79"/>
      <c r="L58" s="80" t="s">
        <v>7</v>
      </c>
      <c r="M58" s="78" t="s">
        <v>7</v>
      </c>
      <c r="N58" s="79"/>
      <c r="O58" s="80" t="s">
        <v>7</v>
      </c>
      <c r="P58" s="78" t="s">
        <v>7</v>
      </c>
      <c r="Q58" s="79"/>
      <c r="R58" s="80" t="s">
        <v>7</v>
      </c>
      <c r="S58" s="69"/>
      <c r="T58" s="78" t="s">
        <v>7</v>
      </c>
      <c r="U58" s="79"/>
      <c r="V58" s="80" t="s">
        <v>7</v>
      </c>
      <c r="W58" s="78" t="s">
        <v>7</v>
      </c>
      <c r="X58" s="79"/>
      <c r="Y58" s="80" t="s">
        <v>7</v>
      </c>
      <c r="Z58" s="78">
        <v>40.0</v>
      </c>
      <c r="AA58" s="81">
        <v>0.0</v>
      </c>
      <c r="AB58" s="82">
        <f t="shared" si="78"/>
        <v>-1</v>
      </c>
      <c r="AC58" s="78">
        <v>40.0</v>
      </c>
      <c r="AD58" s="79">
        <v>40.0</v>
      </c>
      <c r="AE58" s="82">
        <f t="shared" si="80"/>
        <v>0</v>
      </c>
      <c r="AF58" s="78">
        <v>40.0</v>
      </c>
      <c r="AG58" s="79">
        <v>40.0</v>
      </c>
      <c r="AH58" s="82">
        <f t="shared" si="82"/>
        <v>0</v>
      </c>
      <c r="AI58" s="78"/>
      <c r="AJ58" s="79"/>
      <c r="AK58" s="82">
        <f t="shared" si="84"/>
        <v>0</v>
      </c>
      <c r="AL58" s="78"/>
      <c r="AM58" s="79"/>
      <c r="AN58" s="82">
        <f t="shared" si="86"/>
        <v>0</v>
      </c>
      <c r="AO58" s="78"/>
      <c r="AP58" s="79"/>
      <c r="AQ58" s="82">
        <f t="shared" si="88"/>
        <v>0</v>
      </c>
      <c r="AR58" s="78"/>
      <c r="AS58" s="79"/>
      <c r="AT58" s="82">
        <f t="shared" si="90"/>
        <v>0</v>
      </c>
      <c r="AU58" s="78"/>
      <c r="AV58" s="79"/>
      <c r="AW58" s="82">
        <f t="shared" si="92"/>
        <v>0</v>
      </c>
      <c r="AX58" s="78"/>
      <c r="AY58" s="79"/>
      <c r="AZ58" s="82">
        <f t="shared" si="94"/>
        <v>0</v>
      </c>
      <c r="BA58" s="78"/>
      <c r="BB58" s="79"/>
      <c r="BC58" s="82">
        <f t="shared" si="96"/>
        <v>0</v>
      </c>
      <c r="BD58" s="16"/>
      <c r="BE58" s="78"/>
      <c r="BF58" s="79"/>
      <c r="BG58" s="82">
        <f t="shared" si="98"/>
        <v>0</v>
      </c>
      <c r="BH58" s="78"/>
      <c r="BI58" s="79"/>
      <c r="BJ58" s="82">
        <f t="shared" si="100"/>
        <v>0</v>
      </c>
      <c r="BK58" s="78"/>
      <c r="BL58" s="79"/>
      <c r="BM58" s="82">
        <f t="shared" si="102"/>
        <v>0</v>
      </c>
    </row>
    <row r="59" ht="15.75" customHeight="1" outlineLevel="1">
      <c r="A59" s="84"/>
      <c r="B59" s="26"/>
      <c r="C59" s="85" t="s">
        <v>9</v>
      </c>
      <c r="D59" s="84"/>
      <c r="E59" s="86">
        <f t="shared" ref="E59:H59" si="564">IFERROR(E57/E58,0)</f>
        <v>0</v>
      </c>
      <c r="F59" s="87">
        <f t="shared" si="564"/>
        <v>187.5</v>
      </c>
      <c r="G59" s="87">
        <f t="shared" si="564"/>
        <v>0</v>
      </c>
      <c r="H59" s="88">
        <f t="shared" si="564"/>
        <v>187.5</v>
      </c>
      <c r="I59" s="31"/>
      <c r="J59" s="86" t="s">
        <v>7</v>
      </c>
      <c r="K59" s="87">
        <f>IFERROR(K57/K58,0)</f>
        <v>0</v>
      </c>
      <c r="L59" s="88" t="s">
        <v>7</v>
      </c>
      <c r="M59" s="86" t="s">
        <v>7</v>
      </c>
      <c r="N59" s="87">
        <f>IFERROR(N57/N58,0)</f>
        <v>0</v>
      </c>
      <c r="O59" s="88" t="s">
        <v>7</v>
      </c>
      <c r="P59" s="86" t="s">
        <v>7</v>
      </c>
      <c r="Q59" s="87">
        <f>IFERROR(Q57/Q58,0)</f>
        <v>0</v>
      </c>
      <c r="R59" s="88" t="s">
        <v>7</v>
      </c>
      <c r="S59" s="84"/>
      <c r="T59" s="86" t="s">
        <v>7</v>
      </c>
      <c r="U59" s="87">
        <f>IFERROR(U57/U58,0)</f>
        <v>0</v>
      </c>
      <c r="V59" s="88" t="s">
        <v>7</v>
      </c>
      <c r="W59" s="86" t="s">
        <v>7</v>
      </c>
      <c r="X59" s="87">
        <f>IFERROR(X57/X58,0)</f>
        <v>0</v>
      </c>
      <c r="Y59" s="88" t="s">
        <v>7</v>
      </c>
      <c r="Z59" s="86">
        <f t="shared" ref="Z59:AA59" si="565">IFERROR(Z57/Z58,0)</f>
        <v>187.5</v>
      </c>
      <c r="AA59" s="87">
        <f t="shared" si="565"/>
        <v>0</v>
      </c>
      <c r="AB59" s="89">
        <f t="shared" si="78"/>
        <v>-1</v>
      </c>
      <c r="AC59" s="86">
        <f t="shared" ref="AC59:AD59" si="566">IFERROR(AC57/AC58,0)</f>
        <v>187.5</v>
      </c>
      <c r="AD59" s="87">
        <f t="shared" si="566"/>
        <v>187.5</v>
      </c>
      <c r="AE59" s="89">
        <f t="shared" si="80"/>
        <v>0</v>
      </c>
      <c r="AF59" s="86">
        <f t="shared" ref="AF59:AG59" si="567">IFERROR(AF57/AF58,0)</f>
        <v>187.5</v>
      </c>
      <c r="AG59" s="87">
        <f t="shared" si="567"/>
        <v>187.5</v>
      </c>
      <c r="AH59" s="89">
        <f t="shared" si="82"/>
        <v>0</v>
      </c>
      <c r="AI59" s="86">
        <f t="shared" ref="AI59:AJ59" si="568">IFERROR(AI57/AI58,0)</f>
        <v>0</v>
      </c>
      <c r="AJ59" s="87">
        <f t="shared" si="568"/>
        <v>0</v>
      </c>
      <c r="AK59" s="89">
        <f t="shared" si="84"/>
        <v>0</v>
      </c>
      <c r="AL59" s="86">
        <f t="shared" ref="AL59:AM59" si="569">IFERROR(AL57/AL58,0)</f>
        <v>0</v>
      </c>
      <c r="AM59" s="87">
        <f t="shared" si="569"/>
        <v>0</v>
      </c>
      <c r="AN59" s="89">
        <f t="shared" si="86"/>
        <v>0</v>
      </c>
      <c r="AO59" s="86">
        <f t="shared" ref="AO59:AP59" si="570">IFERROR(AO57/AO58,0)</f>
        <v>0</v>
      </c>
      <c r="AP59" s="87">
        <f t="shared" si="570"/>
        <v>0</v>
      </c>
      <c r="AQ59" s="89">
        <f t="shared" si="88"/>
        <v>0</v>
      </c>
      <c r="AR59" s="86">
        <f t="shared" ref="AR59:AS59" si="571">IFERROR(AR57/AR58,0)</f>
        <v>0</v>
      </c>
      <c r="AS59" s="87">
        <f t="shared" si="571"/>
        <v>0</v>
      </c>
      <c r="AT59" s="89">
        <f t="shared" si="90"/>
        <v>0</v>
      </c>
      <c r="AU59" s="86">
        <f t="shared" ref="AU59:AV59" si="572">IFERROR(AU57/AU58,0)</f>
        <v>0</v>
      </c>
      <c r="AV59" s="87">
        <f t="shared" si="572"/>
        <v>0</v>
      </c>
      <c r="AW59" s="89">
        <f t="shared" si="92"/>
        <v>0</v>
      </c>
      <c r="AX59" s="86">
        <f t="shared" ref="AX59:AY59" si="573">IFERROR(AX57/AX58,0)</f>
        <v>0</v>
      </c>
      <c r="AY59" s="87">
        <f t="shared" si="573"/>
        <v>0</v>
      </c>
      <c r="AZ59" s="89">
        <f t="shared" si="94"/>
        <v>0</v>
      </c>
      <c r="BA59" s="86">
        <f t="shared" ref="BA59:BB59" si="574">IFERROR(BA57/BA58,0)</f>
        <v>0</v>
      </c>
      <c r="BB59" s="87">
        <f t="shared" si="574"/>
        <v>0</v>
      </c>
      <c r="BC59" s="89">
        <f t="shared" si="96"/>
        <v>0</v>
      </c>
      <c r="BD59" s="31"/>
      <c r="BE59" s="86">
        <f t="shared" ref="BE59:BF59" si="575">IFERROR(BE57/BE58,0)</f>
        <v>0</v>
      </c>
      <c r="BF59" s="87">
        <f t="shared" si="575"/>
        <v>0</v>
      </c>
      <c r="BG59" s="89">
        <f t="shared" si="98"/>
        <v>0</v>
      </c>
      <c r="BH59" s="86">
        <f t="shared" ref="BH59:BI59" si="576">IFERROR(BH57/BH58,0)</f>
        <v>0</v>
      </c>
      <c r="BI59" s="87">
        <f t="shared" si="576"/>
        <v>0</v>
      </c>
      <c r="BJ59" s="89">
        <f t="shared" si="100"/>
        <v>0</v>
      </c>
      <c r="BK59" s="86">
        <f t="shared" ref="BK59:BL59" si="577">IFERROR(BK57/BK58,0)</f>
        <v>0</v>
      </c>
      <c r="BL59" s="87">
        <f t="shared" si="577"/>
        <v>0</v>
      </c>
      <c r="BM59" s="89">
        <f t="shared" si="102"/>
        <v>0</v>
      </c>
    </row>
    <row r="60" ht="15.75" customHeight="1" outlineLevel="1">
      <c r="A60" s="69"/>
      <c r="B60" s="70" t="s">
        <v>27</v>
      </c>
      <c r="C60" s="71" t="s">
        <v>6</v>
      </c>
      <c r="D60" s="69"/>
      <c r="E60" s="72">
        <f t="shared" ref="E60:E61" si="578">K60+N60+Q60</f>
        <v>0</v>
      </c>
      <c r="F60" s="73">
        <f t="shared" ref="F60:F61" si="579">U60+X60+AA60+AD60+AG60+AJ60+AM60+AP60+AS60+AV60+AY60+BB60</f>
        <v>0</v>
      </c>
      <c r="G60" s="73">
        <f t="shared" ref="G60:G61" si="580">BF60+BI60+BL60</f>
        <v>0</v>
      </c>
      <c r="H60" s="74">
        <f t="shared" ref="H60:H61" si="581">SUM(E60:G60)</f>
        <v>0</v>
      </c>
      <c r="I60" s="16"/>
      <c r="J60" s="72" t="s">
        <v>7</v>
      </c>
      <c r="K60" s="73"/>
      <c r="L60" s="74" t="s">
        <v>7</v>
      </c>
      <c r="M60" s="72" t="s">
        <v>7</v>
      </c>
      <c r="N60" s="73"/>
      <c r="O60" s="74" t="s">
        <v>7</v>
      </c>
      <c r="P60" s="72" t="s">
        <v>7</v>
      </c>
      <c r="Q60" s="73"/>
      <c r="R60" s="74" t="s">
        <v>7</v>
      </c>
      <c r="S60" s="69"/>
      <c r="T60" s="72" t="s">
        <v>7</v>
      </c>
      <c r="U60" s="73"/>
      <c r="V60" s="74" t="s">
        <v>7</v>
      </c>
      <c r="W60" s="72" t="s">
        <v>7</v>
      </c>
      <c r="X60" s="73"/>
      <c r="Y60" s="74" t="s">
        <v>7</v>
      </c>
      <c r="Z60" s="72">
        <v>15000.0</v>
      </c>
      <c r="AA60" s="75">
        <v>0.0</v>
      </c>
      <c r="AB60" s="76">
        <f t="shared" si="78"/>
        <v>-1</v>
      </c>
      <c r="AC60" s="72"/>
      <c r="AD60" s="73"/>
      <c r="AE60" s="76">
        <f t="shared" si="80"/>
        <v>0</v>
      </c>
      <c r="AF60" s="72"/>
      <c r="AG60" s="73"/>
      <c r="AH60" s="76">
        <f t="shared" si="82"/>
        <v>0</v>
      </c>
      <c r="AI60" s="72"/>
      <c r="AJ60" s="73"/>
      <c r="AK60" s="76">
        <f t="shared" si="84"/>
        <v>0</v>
      </c>
      <c r="AL60" s="72"/>
      <c r="AM60" s="73"/>
      <c r="AN60" s="76">
        <f t="shared" si="86"/>
        <v>0</v>
      </c>
      <c r="AO60" s="72"/>
      <c r="AP60" s="73"/>
      <c r="AQ60" s="76">
        <f t="shared" si="88"/>
        <v>0</v>
      </c>
      <c r="AR60" s="72"/>
      <c r="AS60" s="73"/>
      <c r="AT60" s="76">
        <f t="shared" si="90"/>
        <v>0</v>
      </c>
      <c r="AU60" s="72"/>
      <c r="AV60" s="73"/>
      <c r="AW60" s="76">
        <f t="shared" si="92"/>
        <v>0</v>
      </c>
      <c r="AX60" s="72"/>
      <c r="AY60" s="73"/>
      <c r="AZ60" s="76">
        <f t="shared" si="94"/>
        <v>0</v>
      </c>
      <c r="BA60" s="72"/>
      <c r="BB60" s="73"/>
      <c r="BC60" s="76">
        <f t="shared" si="96"/>
        <v>0</v>
      </c>
      <c r="BD60" s="16"/>
      <c r="BE60" s="72"/>
      <c r="BF60" s="73"/>
      <c r="BG60" s="76">
        <f t="shared" si="98"/>
        <v>0</v>
      </c>
      <c r="BH60" s="72"/>
      <c r="BI60" s="73"/>
      <c r="BJ60" s="76">
        <f t="shared" si="100"/>
        <v>0</v>
      </c>
      <c r="BK60" s="72"/>
      <c r="BL60" s="73"/>
      <c r="BM60" s="76">
        <f t="shared" si="102"/>
        <v>0</v>
      </c>
    </row>
    <row r="61" ht="15.75" customHeight="1" outlineLevel="1">
      <c r="A61" s="69"/>
      <c r="B61" s="20"/>
      <c r="C61" s="77" t="s">
        <v>8</v>
      </c>
      <c r="D61" s="69"/>
      <c r="E61" s="78">
        <f t="shared" si="578"/>
        <v>0</v>
      </c>
      <c r="F61" s="79">
        <f t="shared" si="579"/>
        <v>0</v>
      </c>
      <c r="G61" s="79">
        <f t="shared" si="580"/>
        <v>0</v>
      </c>
      <c r="H61" s="80">
        <f t="shared" si="581"/>
        <v>0</v>
      </c>
      <c r="I61" s="16"/>
      <c r="J61" s="78" t="s">
        <v>7</v>
      </c>
      <c r="K61" s="79"/>
      <c r="L61" s="80" t="s">
        <v>7</v>
      </c>
      <c r="M61" s="78" t="s">
        <v>7</v>
      </c>
      <c r="N61" s="79"/>
      <c r="O61" s="80" t="s">
        <v>7</v>
      </c>
      <c r="P61" s="78" t="s">
        <v>7</v>
      </c>
      <c r="Q61" s="79"/>
      <c r="R61" s="80" t="s">
        <v>7</v>
      </c>
      <c r="S61" s="69"/>
      <c r="T61" s="78" t="s">
        <v>7</v>
      </c>
      <c r="U61" s="79"/>
      <c r="V61" s="80" t="s">
        <v>7</v>
      </c>
      <c r="W61" s="78" t="s">
        <v>7</v>
      </c>
      <c r="X61" s="79"/>
      <c r="Y61" s="80" t="s">
        <v>7</v>
      </c>
      <c r="Z61" s="78">
        <v>159.0</v>
      </c>
      <c r="AA61" s="81">
        <v>0.0</v>
      </c>
      <c r="AB61" s="82">
        <f t="shared" si="78"/>
        <v>-1</v>
      </c>
      <c r="AC61" s="78"/>
      <c r="AD61" s="79"/>
      <c r="AE61" s="82">
        <f t="shared" si="80"/>
        <v>0</v>
      </c>
      <c r="AF61" s="78"/>
      <c r="AG61" s="79"/>
      <c r="AH61" s="82">
        <f t="shared" si="82"/>
        <v>0</v>
      </c>
      <c r="AI61" s="78"/>
      <c r="AJ61" s="79"/>
      <c r="AK61" s="82">
        <f t="shared" si="84"/>
        <v>0</v>
      </c>
      <c r="AL61" s="78"/>
      <c r="AM61" s="79"/>
      <c r="AN61" s="82">
        <f t="shared" si="86"/>
        <v>0</v>
      </c>
      <c r="AO61" s="78"/>
      <c r="AP61" s="79"/>
      <c r="AQ61" s="82">
        <f t="shared" si="88"/>
        <v>0</v>
      </c>
      <c r="AR61" s="78"/>
      <c r="AS61" s="79"/>
      <c r="AT61" s="82">
        <f t="shared" si="90"/>
        <v>0</v>
      </c>
      <c r="AU61" s="78"/>
      <c r="AV61" s="79"/>
      <c r="AW61" s="82">
        <f t="shared" si="92"/>
        <v>0</v>
      </c>
      <c r="AX61" s="78"/>
      <c r="AY61" s="79"/>
      <c r="AZ61" s="82">
        <f t="shared" si="94"/>
        <v>0</v>
      </c>
      <c r="BA61" s="78"/>
      <c r="BB61" s="79"/>
      <c r="BC61" s="82">
        <f t="shared" si="96"/>
        <v>0</v>
      </c>
      <c r="BD61" s="16"/>
      <c r="BE61" s="78"/>
      <c r="BF61" s="79"/>
      <c r="BG61" s="82">
        <f t="shared" si="98"/>
        <v>0</v>
      </c>
      <c r="BH61" s="78"/>
      <c r="BI61" s="79"/>
      <c r="BJ61" s="82">
        <f t="shared" si="100"/>
        <v>0</v>
      </c>
      <c r="BK61" s="78"/>
      <c r="BL61" s="79"/>
      <c r="BM61" s="82">
        <f t="shared" si="102"/>
        <v>0</v>
      </c>
    </row>
    <row r="62" ht="15.75" customHeight="1" outlineLevel="1">
      <c r="A62" s="84"/>
      <c r="B62" s="26"/>
      <c r="C62" s="85" t="s">
        <v>9</v>
      </c>
      <c r="D62" s="84"/>
      <c r="E62" s="86">
        <f t="shared" ref="E62:H62" si="582">IFERROR(E60/E61,0)</f>
        <v>0</v>
      </c>
      <c r="F62" s="87">
        <f t="shared" si="582"/>
        <v>0</v>
      </c>
      <c r="G62" s="87">
        <f t="shared" si="582"/>
        <v>0</v>
      </c>
      <c r="H62" s="88">
        <f t="shared" si="582"/>
        <v>0</v>
      </c>
      <c r="I62" s="31"/>
      <c r="J62" s="86" t="s">
        <v>7</v>
      </c>
      <c r="K62" s="87">
        <f>IFERROR(K60/K61,0)</f>
        <v>0</v>
      </c>
      <c r="L62" s="88" t="s">
        <v>7</v>
      </c>
      <c r="M62" s="86" t="s">
        <v>7</v>
      </c>
      <c r="N62" s="87">
        <f>IFERROR(N60/N61,0)</f>
        <v>0</v>
      </c>
      <c r="O62" s="88" t="s">
        <v>7</v>
      </c>
      <c r="P62" s="86" t="s">
        <v>7</v>
      </c>
      <c r="Q62" s="87">
        <f>IFERROR(Q60/Q61,0)</f>
        <v>0</v>
      </c>
      <c r="R62" s="88" t="s">
        <v>7</v>
      </c>
      <c r="S62" s="84"/>
      <c r="T62" s="86" t="s">
        <v>7</v>
      </c>
      <c r="U62" s="87">
        <f>IFERROR(U60/U61,0)</f>
        <v>0</v>
      </c>
      <c r="V62" s="88" t="s">
        <v>7</v>
      </c>
      <c r="W62" s="86" t="s">
        <v>7</v>
      </c>
      <c r="X62" s="87">
        <f>IFERROR(X60/X61,0)</f>
        <v>0</v>
      </c>
      <c r="Y62" s="88" t="s">
        <v>7</v>
      </c>
      <c r="Z62" s="86">
        <f t="shared" ref="Z62:AA62" si="583">IFERROR(Z60/Z61,0)</f>
        <v>94.33962264</v>
      </c>
      <c r="AA62" s="87">
        <f t="shared" si="583"/>
        <v>0</v>
      </c>
      <c r="AB62" s="89">
        <f t="shared" si="78"/>
        <v>-1</v>
      </c>
      <c r="AC62" s="86">
        <f t="shared" ref="AC62:AD62" si="584">IFERROR(AC60/AC61,0)</f>
        <v>0</v>
      </c>
      <c r="AD62" s="87">
        <f t="shared" si="584"/>
        <v>0</v>
      </c>
      <c r="AE62" s="89">
        <f t="shared" si="80"/>
        <v>0</v>
      </c>
      <c r="AF62" s="86">
        <f t="shared" ref="AF62:AG62" si="585">IFERROR(AF60/AF61,0)</f>
        <v>0</v>
      </c>
      <c r="AG62" s="87">
        <f t="shared" si="585"/>
        <v>0</v>
      </c>
      <c r="AH62" s="89">
        <f t="shared" si="82"/>
        <v>0</v>
      </c>
      <c r="AI62" s="86">
        <f t="shared" ref="AI62:AJ62" si="586">IFERROR(AI60/AI61,0)</f>
        <v>0</v>
      </c>
      <c r="AJ62" s="87">
        <f t="shared" si="586"/>
        <v>0</v>
      </c>
      <c r="AK62" s="89">
        <f t="shared" si="84"/>
        <v>0</v>
      </c>
      <c r="AL62" s="86">
        <f t="shared" ref="AL62:AM62" si="587">IFERROR(AL60/AL61,0)</f>
        <v>0</v>
      </c>
      <c r="AM62" s="87">
        <f t="shared" si="587"/>
        <v>0</v>
      </c>
      <c r="AN62" s="89">
        <f t="shared" si="86"/>
        <v>0</v>
      </c>
      <c r="AO62" s="86">
        <f t="shared" ref="AO62:AP62" si="588">IFERROR(AO60/AO61,0)</f>
        <v>0</v>
      </c>
      <c r="AP62" s="87">
        <f t="shared" si="588"/>
        <v>0</v>
      </c>
      <c r="AQ62" s="89">
        <f t="shared" si="88"/>
        <v>0</v>
      </c>
      <c r="AR62" s="86">
        <f t="shared" ref="AR62:AS62" si="589">IFERROR(AR60/AR61,0)</f>
        <v>0</v>
      </c>
      <c r="AS62" s="87">
        <f t="shared" si="589"/>
        <v>0</v>
      </c>
      <c r="AT62" s="89">
        <f t="shared" si="90"/>
        <v>0</v>
      </c>
      <c r="AU62" s="86">
        <f t="shared" ref="AU62:AV62" si="590">IFERROR(AU60/AU61,0)</f>
        <v>0</v>
      </c>
      <c r="AV62" s="87">
        <f t="shared" si="590"/>
        <v>0</v>
      </c>
      <c r="AW62" s="89">
        <f t="shared" si="92"/>
        <v>0</v>
      </c>
      <c r="AX62" s="86">
        <f t="shared" ref="AX62:AY62" si="591">IFERROR(AX60/AX61,0)</f>
        <v>0</v>
      </c>
      <c r="AY62" s="87">
        <f t="shared" si="591"/>
        <v>0</v>
      </c>
      <c r="AZ62" s="89">
        <f t="shared" si="94"/>
        <v>0</v>
      </c>
      <c r="BA62" s="86">
        <f t="shared" ref="BA62:BB62" si="592">IFERROR(BA60/BA61,0)</f>
        <v>0</v>
      </c>
      <c r="BB62" s="87">
        <f t="shared" si="592"/>
        <v>0</v>
      </c>
      <c r="BC62" s="89">
        <f t="shared" si="96"/>
        <v>0</v>
      </c>
      <c r="BD62" s="31"/>
      <c r="BE62" s="86">
        <f t="shared" ref="BE62:BF62" si="593">IFERROR(BE60/BE61,0)</f>
        <v>0</v>
      </c>
      <c r="BF62" s="87">
        <f t="shared" si="593"/>
        <v>0</v>
      </c>
      <c r="BG62" s="89">
        <f t="shared" si="98"/>
        <v>0</v>
      </c>
      <c r="BH62" s="86">
        <f t="shared" ref="BH62:BI62" si="594">IFERROR(BH60/BH61,0)</f>
        <v>0</v>
      </c>
      <c r="BI62" s="87">
        <f t="shared" si="594"/>
        <v>0</v>
      </c>
      <c r="BJ62" s="89">
        <f t="shared" si="100"/>
        <v>0</v>
      </c>
      <c r="BK62" s="86">
        <f t="shared" ref="BK62:BL62" si="595">IFERROR(BK60/BK61,0)</f>
        <v>0</v>
      </c>
      <c r="BL62" s="87">
        <f t="shared" si="595"/>
        <v>0</v>
      </c>
      <c r="BM62" s="89">
        <f t="shared" si="102"/>
        <v>0</v>
      </c>
    </row>
    <row r="63" ht="15.75" customHeight="1" outlineLevel="1">
      <c r="A63" s="69"/>
      <c r="B63" s="70" t="s">
        <v>28</v>
      </c>
      <c r="C63" s="71" t="s">
        <v>6</v>
      </c>
      <c r="D63" s="69"/>
      <c r="E63" s="72">
        <f t="shared" ref="E63:E64" si="596">K63+N63+Q63</f>
        <v>0</v>
      </c>
      <c r="F63" s="73">
        <f t="shared" ref="F63:F64" si="597">U63+X63+AA63+AD63+AG63+AJ63+AM63+AP63+AS63+AV63+AY63+BB63</f>
        <v>8066.546763</v>
      </c>
      <c r="G63" s="73">
        <f t="shared" ref="G63:G64" si="598">BF63+BI63+BL63</f>
        <v>0</v>
      </c>
      <c r="H63" s="74">
        <f t="shared" ref="H63:H64" si="599">SUM(E63:G63)</f>
        <v>8066.546763</v>
      </c>
      <c r="I63" s="16"/>
      <c r="J63" s="72" t="s">
        <v>7</v>
      </c>
      <c r="K63" s="73"/>
      <c r="L63" s="74" t="s">
        <v>7</v>
      </c>
      <c r="M63" s="72" t="s">
        <v>7</v>
      </c>
      <c r="N63" s="73"/>
      <c r="O63" s="74" t="s">
        <v>7</v>
      </c>
      <c r="P63" s="72" t="s">
        <v>7</v>
      </c>
      <c r="Q63" s="73"/>
      <c r="R63" s="74" t="s">
        <v>7</v>
      </c>
      <c r="S63" s="69"/>
      <c r="T63" s="72" t="s">
        <v>7</v>
      </c>
      <c r="U63" s="73"/>
      <c r="V63" s="74" t="s">
        <v>7</v>
      </c>
      <c r="W63" s="72" t="s">
        <v>7</v>
      </c>
      <c r="X63" s="73"/>
      <c r="Y63" s="74" t="s">
        <v>7</v>
      </c>
      <c r="Z63" s="72">
        <v>7500.0</v>
      </c>
      <c r="AA63" s="97">
        <f>3150/C163</f>
        <v>566.5467626</v>
      </c>
      <c r="AB63" s="76">
        <f t="shared" si="78"/>
        <v>-0.9244604317</v>
      </c>
      <c r="AC63" s="98">
        <f>Z63-AA63+7500</f>
        <v>14433.45324</v>
      </c>
      <c r="AD63" s="73">
        <v>7500.0</v>
      </c>
      <c r="AE63" s="76">
        <f t="shared" si="80"/>
        <v>-0.4803738318</v>
      </c>
      <c r="AF63" s="72"/>
      <c r="AG63" s="73"/>
      <c r="AH63" s="76">
        <f t="shared" si="82"/>
        <v>0</v>
      </c>
      <c r="AI63" s="72"/>
      <c r="AJ63" s="73"/>
      <c r="AK63" s="76">
        <f t="shared" si="84"/>
        <v>0</v>
      </c>
      <c r="AL63" s="72"/>
      <c r="AM63" s="73"/>
      <c r="AN63" s="76">
        <f t="shared" si="86"/>
        <v>0</v>
      </c>
      <c r="AO63" s="72"/>
      <c r="AP63" s="73"/>
      <c r="AQ63" s="76">
        <f t="shared" si="88"/>
        <v>0</v>
      </c>
      <c r="AR63" s="72"/>
      <c r="AS63" s="73"/>
      <c r="AT63" s="76">
        <f t="shared" si="90"/>
        <v>0</v>
      </c>
      <c r="AU63" s="72"/>
      <c r="AV63" s="73"/>
      <c r="AW63" s="76">
        <f t="shared" si="92"/>
        <v>0</v>
      </c>
      <c r="AX63" s="72"/>
      <c r="AY63" s="73"/>
      <c r="AZ63" s="76">
        <f t="shared" si="94"/>
        <v>0</v>
      </c>
      <c r="BA63" s="72"/>
      <c r="BB63" s="73"/>
      <c r="BC63" s="76">
        <f t="shared" si="96"/>
        <v>0</v>
      </c>
      <c r="BD63" s="16"/>
      <c r="BE63" s="72"/>
      <c r="BF63" s="73"/>
      <c r="BG63" s="76">
        <f t="shared" si="98"/>
        <v>0</v>
      </c>
      <c r="BH63" s="72"/>
      <c r="BI63" s="73"/>
      <c r="BJ63" s="76">
        <f t="shared" si="100"/>
        <v>0</v>
      </c>
      <c r="BK63" s="72"/>
      <c r="BL63" s="73"/>
      <c r="BM63" s="76">
        <f t="shared" si="102"/>
        <v>0</v>
      </c>
    </row>
    <row r="64" ht="15.75" customHeight="1" outlineLevel="1">
      <c r="A64" s="69"/>
      <c r="B64" s="20"/>
      <c r="C64" s="77" t="s">
        <v>8</v>
      </c>
      <c r="D64" s="69"/>
      <c r="E64" s="78">
        <f t="shared" si="596"/>
        <v>0</v>
      </c>
      <c r="F64" s="79">
        <f t="shared" si="597"/>
        <v>97</v>
      </c>
      <c r="G64" s="79">
        <f t="shared" si="598"/>
        <v>0</v>
      </c>
      <c r="H64" s="80">
        <f t="shared" si="599"/>
        <v>97</v>
      </c>
      <c r="I64" s="16"/>
      <c r="J64" s="78" t="s">
        <v>7</v>
      </c>
      <c r="K64" s="79"/>
      <c r="L64" s="80" t="s">
        <v>7</v>
      </c>
      <c r="M64" s="78" t="s">
        <v>7</v>
      </c>
      <c r="N64" s="79"/>
      <c r="O64" s="80" t="s">
        <v>7</v>
      </c>
      <c r="P64" s="78" t="s">
        <v>7</v>
      </c>
      <c r="Q64" s="79"/>
      <c r="R64" s="80" t="s">
        <v>7</v>
      </c>
      <c r="S64" s="69"/>
      <c r="T64" s="78" t="s">
        <v>7</v>
      </c>
      <c r="U64" s="79"/>
      <c r="V64" s="80" t="s">
        <v>7</v>
      </c>
      <c r="W64" s="78" t="s">
        <v>7</v>
      </c>
      <c r="X64" s="79"/>
      <c r="Y64" s="80" t="s">
        <v>7</v>
      </c>
      <c r="Z64" s="92">
        <v>90.0</v>
      </c>
      <c r="AA64" s="81">
        <v>7.0</v>
      </c>
      <c r="AB64" s="82">
        <f t="shared" si="78"/>
        <v>-0.9222222222</v>
      </c>
      <c r="AC64" s="92"/>
      <c r="AD64" s="79">
        <v>90.0</v>
      </c>
      <c r="AE64" s="82">
        <f t="shared" si="80"/>
        <v>0</v>
      </c>
      <c r="AF64" s="78"/>
      <c r="AG64" s="79"/>
      <c r="AH64" s="82">
        <f t="shared" si="82"/>
        <v>0</v>
      </c>
      <c r="AI64" s="78"/>
      <c r="AJ64" s="79"/>
      <c r="AK64" s="82">
        <f t="shared" si="84"/>
        <v>0</v>
      </c>
      <c r="AL64" s="78"/>
      <c r="AM64" s="79"/>
      <c r="AN64" s="82">
        <f t="shared" si="86"/>
        <v>0</v>
      </c>
      <c r="AO64" s="78"/>
      <c r="AP64" s="79"/>
      <c r="AQ64" s="82">
        <f t="shared" si="88"/>
        <v>0</v>
      </c>
      <c r="AR64" s="78"/>
      <c r="AS64" s="79"/>
      <c r="AT64" s="82">
        <f t="shared" si="90"/>
        <v>0</v>
      </c>
      <c r="AU64" s="78"/>
      <c r="AV64" s="79"/>
      <c r="AW64" s="82">
        <f t="shared" si="92"/>
        <v>0</v>
      </c>
      <c r="AX64" s="78"/>
      <c r="AY64" s="79"/>
      <c r="AZ64" s="82">
        <f t="shared" si="94"/>
        <v>0</v>
      </c>
      <c r="BA64" s="78"/>
      <c r="BB64" s="79"/>
      <c r="BC64" s="82">
        <f t="shared" si="96"/>
        <v>0</v>
      </c>
      <c r="BD64" s="16"/>
      <c r="BE64" s="78"/>
      <c r="BF64" s="79"/>
      <c r="BG64" s="82">
        <f t="shared" si="98"/>
        <v>0</v>
      </c>
      <c r="BH64" s="78"/>
      <c r="BI64" s="79"/>
      <c r="BJ64" s="82">
        <f t="shared" si="100"/>
        <v>0</v>
      </c>
      <c r="BK64" s="78"/>
      <c r="BL64" s="79"/>
      <c r="BM64" s="82">
        <f t="shared" si="102"/>
        <v>0</v>
      </c>
    </row>
    <row r="65" ht="15.75" customHeight="1" outlineLevel="1">
      <c r="A65" s="84"/>
      <c r="B65" s="26"/>
      <c r="C65" s="85" t="s">
        <v>9</v>
      </c>
      <c r="D65" s="84"/>
      <c r="E65" s="86">
        <f t="shared" ref="E65:H65" si="600">IFERROR(E63/E64,0)</f>
        <v>0</v>
      </c>
      <c r="F65" s="87">
        <f t="shared" si="600"/>
        <v>83.1602759</v>
      </c>
      <c r="G65" s="87">
        <f t="shared" si="600"/>
        <v>0</v>
      </c>
      <c r="H65" s="88">
        <f t="shared" si="600"/>
        <v>83.1602759</v>
      </c>
      <c r="I65" s="31"/>
      <c r="J65" s="86" t="s">
        <v>7</v>
      </c>
      <c r="K65" s="87">
        <f>IFERROR(K63/K64,0)</f>
        <v>0</v>
      </c>
      <c r="L65" s="88" t="s">
        <v>7</v>
      </c>
      <c r="M65" s="86" t="s">
        <v>7</v>
      </c>
      <c r="N65" s="87">
        <f>IFERROR(N63/N64,0)</f>
        <v>0</v>
      </c>
      <c r="O65" s="88" t="s">
        <v>7</v>
      </c>
      <c r="P65" s="86" t="s">
        <v>7</v>
      </c>
      <c r="Q65" s="87">
        <f>IFERROR(Q63/Q64,0)</f>
        <v>0</v>
      </c>
      <c r="R65" s="88" t="s">
        <v>7</v>
      </c>
      <c r="S65" s="84"/>
      <c r="T65" s="86" t="s">
        <v>7</v>
      </c>
      <c r="U65" s="87">
        <f>IFERROR(U63/U64,0)</f>
        <v>0</v>
      </c>
      <c r="V65" s="88" t="s">
        <v>7</v>
      </c>
      <c r="W65" s="86" t="s">
        <v>7</v>
      </c>
      <c r="X65" s="87">
        <f>IFERROR(X63/X64,0)</f>
        <v>0</v>
      </c>
      <c r="Y65" s="88" t="s">
        <v>7</v>
      </c>
      <c r="Z65" s="86">
        <f t="shared" ref="Z65:AA65" si="601">IFERROR(Z63/Z64,0)</f>
        <v>83.33333333</v>
      </c>
      <c r="AA65" s="87">
        <f t="shared" si="601"/>
        <v>80.9352518</v>
      </c>
      <c r="AB65" s="89">
        <f t="shared" si="78"/>
        <v>-0.02877697842</v>
      </c>
      <c r="AC65" s="86">
        <f t="shared" ref="AC65:AD65" si="602">IFERROR(AC63/AC64,0)</f>
        <v>0</v>
      </c>
      <c r="AD65" s="87">
        <f t="shared" si="602"/>
        <v>83.33333333</v>
      </c>
      <c r="AE65" s="89">
        <f t="shared" si="80"/>
        <v>0</v>
      </c>
      <c r="AF65" s="86">
        <f t="shared" ref="AF65:AG65" si="603">IFERROR(AF63/AF64,0)</f>
        <v>0</v>
      </c>
      <c r="AG65" s="87">
        <f t="shared" si="603"/>
        <v>0</v>
      </c>
      <c r="AH65" s="89">
        <f t="shared" si="82"/>
        <v>0</v>
      </c>
      <c r="AI65" s="86">
        <f t="shared" ref="AI65:AJ65" si="604">IFERROR(AI63/AI64,0)</f>
        <v>0</v>
      </c>
      <c r="AJ65" s="87">
        <f t="shared" si="604"/>
        <v>0</v>
      </c>
      <c r="AK65" s="89">
        <f t="shared" si="84"/>
        <v>0</v>
      </c>
      <c r="AL65" s="86">
        <f t="shared" ref="AL65:AM65" si="605">IFERROR(AL63/AL64,0)</f>
        <v>0</v>
      </c>
      <c r="AM65" s="87">
        <f t="shared" si="605"/>
        <v>0</v>
      </c>
      <c r="AN65" s="89">
        <f t="shared" si="86"/>
        <v>0</v>
      </c>
      <c r="AO65" s="86">
        <f t="shared" ref="AO65:AP65" si="606">IFERROR(AO63/AO64,0)</f>
        <v>0</v>
      </c>
      <c r="AP65" s="87">
        <f t="shared" si="606"/>
        <v>0</v>
      </c>
      <c r="AQ65" s="89">
        <f t="shared" si="88"/>
        <v>0</v>
      </c>
      <c r="AR65" s="86">
        <f t="shared" ref="AR65:AS65" si="607">IFERROR(AR63/AR64,0)</f>
        <v>0</v>
      </c>
      <c r="AS65" s="87">
        <f t="shared" si="607"/>
        <v>0</v>
      </c>
      <c r="AT65" s="89">
        <f t="shared" si="90"/>
        <v>0</v>
      </c>
      <c r="AU65" s="86">
        <f t="shared" ref="AU65:AV65" si="608">IFERROR(AU63/AU64,0)</f>
        <v>0</v>
      </c>
      <c r="AV65" s="87">
        <f t="shared" si="608"/>
        <v>0</v>
      </c>
      <c r="AW65" s="89">
        <f t="shared" si="92"/>
        <v>0</v>
      </c>
      <c r="AX65" s="86">
        <f t="shared" ref="AX65:AY65" si="609">IFERROR(AX63/AX64,0)</f>
        <v>0</v>
      </c>
      <c r="AY65" s="87">
        <f t="shared" si="609"/>
        <v>0</v>
      </c>
      <c r="AZ65" s="89">
        <f t="shared" si="94"/>
        <v>0</v>
      </c>
      <c r="BA65" s="86">
        <f t="shared" ref="BA65:BB65" si="610">IFERROR(BA63/BA64,0)</f>
        <v>0</v>
      </c>
      <c r="BB65" s="87">
        <f t="shared" si="610"/>
        <v>0</v>
      </c>
      <c r="BC65" s="89">
        <f t="shared" si="96"/>
        <v>0</v>
      </c>
      <c r="BD65" s="31"/>
      <c r="BE65" s="86">
        <f t="shared" ref="BE65:BF65" si="611">IFERROR(BE63/BE64,0)</f>
        <v>0</v>
      </c>
      <c r="BF65" s="87">
        <f t="shared" si="611"/>
        <v>0</v>
      </c>
      <c r="BG65" s="89">
        <f t="shared" si="98"/>
        <v>0</v>
      </c>
      <c r="BH65" s="86">
        <f t="shared" ref="BH65:BI65" si="612">IFERROR(BH63/BH64,0)</f>
        <v>0</v>
      </c>
      <c r="BI65" s="87">
        <f t="shared" si="612"/>
        <v>0</v>
      </c>
      <c r="BJ65" s="89">
        <f t="shared" si="100"/>
        <v>0</v>
      </c>
      <c r="BK65" s="86">
        <f t="shared" ref="BK65:BL65" si="613">IFERROR(BK63/BK64,0)</f>
        <v>0</v>
      </c>
      <c r="BL65" s="87">
        <f t="shared" si="613"/>
        <v>0</v>
      </c>
      <c r="BM65" s="89">
        <f t="shared" si="102"/>
        <v>0</v>
      </c>
    </row>
    <row r="66" ht="15.75" customHeight="1" outlineLevel="1">
      <c r="A66" s="69"/>
      <c r="B66" s="70" t="s">
        <v>29</v>
      </c>
      <c r="C66" s="71" t="s">
        <v>6</v>
      </c>
      <c r="D66" s="69"/>
      <c r="E66" s="72">
        <f t="shared" ref="E66:E67" si="614">K66+N66+Q66</f>
        <v>0</v>
      </c>
      <c r="F66" s="73">
        <f t="shared" ref="F66:F67" si="615">U66+X66+AA66+AD66+AG66+AJ66+AM66+AP66+AS66+AV66+AY66+BB66</f>
        <v>152060.34</v>
      </c>
      <c r="G66" s="73">
        <f t="shared" ref="G66:G67" si="616">BF66+BI66+BL66</f>
        <v>27368.4</v>
      </c>
      <c r="H66" s="74">
        <f t="shared" ref="H66:H67" si="617">SUM(E66:G66)</f>
        <v>179428.74</v>
      </c>
      <c r="I66" s="16"/>
      <c r="J66" s="72" t="s">
        <v>7</v>
      </c>
      <c r="K66" s="73"/>
      <c r="L66" s="74" t="s">
        <v>7</v>
      </c>
      <c r="M66" s="72" t="s">
        <v>7</v>
      </c>
      <c r="N66" s="73"/>
      <c r="O66" s="74" t="s">
        <v>7</v>
      </c>
      <c r="P66" s="72" t="s">
        <v>7</v>
      </c>
      <c r="Q66" s="73"/>
      <c r="R66" s="74" t="s">
        <v>7</v>
      </c>
      <c r="S66" s="69"/>
      <c r="T66" s="72" t="s">
        <v>7</v>
      </c>
      <c r="U66" s="73"/>
      <c r="V66" s="74" t="s">
        <v>7</v>
      </c>
      <c r="W66" s="72" t="s">
        <v>7</v>
      </c>
      <c r="X66" s="73">
        <v>9950.54</v>
      </c>
      <c r="Y66" s="74" t="s">
        <v>7</v>
      </c>
      <c r="Z66" s="93">
        <v>20000.0</v>
      </c>
      <c r="AA66" s="75">
        <v>18952.0</v>
      </c>
      <c r="AB66" s="76">
        <f t="shared" si="78"/>
        <v>-0.0524</v>
      </c>
      <c r="AC66" s="72">
        <v>13684.2</v>
      </c>
      <c r="AD66" s="73">
        <v>13684.2</v>
      </c>
      <c r="AE66" s="76">
        <f t="shared" si="80"/>
        <v>0</v>
      </c>
      <c r="AF66" s="72">
        <v>13684.2</v>
      </c>
      <c r="AG66" s="73">
        <v>13684.2</v>
      </c>
      <c r="AH66" s="76">
        <f t="shared" si="82"/>
        <v>0</v>
      </c>
      <c r="AI66" s="72">
        <v>13684.2</v>
      </c>
      <c r="AJ66" s="73">
        <v>13684.2</v>
      </c>
      <c r="AK66" s="76">
        <f t="shared" si="84"/>
        <v>0</v>
      </c>
      <c r="AL66" s="72">
        <v>13684.2</v>
      </c>
      <c r="AM66" s="73">
        <v>13684.2</v>
      </c>
      <c r="AN66" s="76">
        <f t="shared" si="86"/>
        <v>0</v>
      </c>
      <c r="AO66" s="72">
        <v>13684.2</v>
      </c>
      <c r="AP66" s="73">
        <v>13684.2</v>
      </c>
      <c r="AQ66" s="76">
        <f t="shared" si="88"/>
        <v>0</v>
      </c>
      <c r="AR66" s="72">
        <v>13684.2</v>
      </c>
      <c r="AS66" s="73">
        <v>13684.2</v>
      </c>
      <c r="AT66" s="76">
        <f t="shared" si="90"/>
        <v>0</v>
      </c>
      <c r="AU66" s="72">
        <v>13684.2</v>
      </c>
      <c r="AV66" s="73">
        <v>13684.2</v>
      </c>
      <c r="AW66" s="76">
        <f t="shared" si="92"/>
        <v>0</v>
      </c>
      <c r="AX66" s="72">
        <v>13684.2</v>
      </c>
      <c r="AY66" s="73">
        <v>13684.2</v>
      </c>
      <c r="AZ66" s="76">
        <f t="shared" si="94"/>
        <v>0</v>
      </c>
      <c r="BA66" s="72">
        <v>13684.2</v>
      </c>
      <c r="BB66" s="73">
        <v>13684.2</v>
      </c>
      <c r="BC66" s="76">
        <f t="shared" si="96"/>
        <v>0</v>
      </c>
      <c r="BD66" s="16"/>
      <c r="BE66" s="72">
        <v>13684.2</v>
      </c>
      <c r="BF66" s="73">
        <v>13684.2</v>
      </c>
      <c r="BG66" s="76">
        <f t="shared" si="98"/>
        <v>0</v>
      </c>
      <c r="BH66" s="72">
        <v>13684.2</v>
      </c>
      <c r="BI66" s="73">
        <v>13684.2</v>
      </c>
      <c r="BJ66" s="76">
        <f t="shared" si="100"/>
        <v>0</v>
      </c>
      <c r="BK66" s="72"/>
      <c r="BL66" s="73"/>
      <c r="BM66" s="76">
        <f t="shared" si="102"/>
        <v>0</v>
      </c>
    </row>
    <row r="67" ht="15.75" customHeight="1" outlineLevel="1">
      <c r="A67" s="69"/>
      <c r="B67" s="20"/>
      <c r="C67" s="77" t="s">
        <v>8</v>
      </c>
      <c r="D67" s="69"/>
      <c r="E67" s="78">
        <f t="shared" si="614"/>
        <v>0</v>
      </c>
      <c r="F67" s="79">
        <f t="shared" si="615"/>
        <v>1152</v>
      </c>
      <c r="G67" s="79">
        <f t="shared" si="616"/>
        <v>254</v>
      </c>
      <c r="H67" s="80">
        <f t="shared" si="617"/>
        <v>1406</v>
      </c>
      <c r="I67" s="16"/>
      <c r="J67" s="78" t="s">
        <v>7</v>
      </c>
      <c r="K67" s="79"/>
      <c r="L67" s="80" t="s">
        <v>7</v>
      </c>
      <c r="M67" s="78" t="s">
        <v>7</v>
      </c>
      <c r="N67" s="79"/>
      <c r="O67" s="80" t="s">
        <v>7</v>
      </c>
      <c r="P67" s="78" t="s">
        <v>7</v>
      </c>
      <c r="Q67" s="79"/>
      <c r="R67" s="80" t="s">
        <v>7</v>
      </c>
      <c r="S67" s="69"/>
      <c r="T67" s="78" t="s">
        <v>7</v>
      </c>
      <c r="U67" s="79"/>
      <c r="V67" s="80" t="s">
        <v>7</v>
      </c>
      <c r="W67" s="78" t="s">
        <v>7</v>
      </c>
      <c r="X67" s="79">
        <v>5.0</v>
      </c>
      <c r="Y67" s="80" t="s">
        <v>7</v>
      </c>
      <c r="Z67" s="78">
        <v>127.0</v>
      </c>
      <c r="AA67" s="81">
        <v>4.0</v>
      </c>
      <c r="AB67" s="82">
        <f t="shared" si="78"/>
        <v>-0.968503937</v>
      </c>
      <c r="AC67" s="78">
        <v>127.0</v>
      </c>
      <c r="AD67" s="79">
        <v>127.0</v>
      </c>
      <c r="AE67" s="82">
        <f t="shared" si="80"/>
        <v>0</v>
      </c>
      <c r="AF67" s="78">
        <v>127.0</v>
      </c>
      <c r="AG67" s="81">
        <v>127.0</v>
      </c>
      <c r="AH67" s="82">
        <f t="shared" si="82"/>
        <v>0</v>
      </c>
      <c r="AI67" s="78">
        <v>127.0</v>
      </c>
      <c r="AJ67" s="79">
        <v>127.0</v>
      </c>
      <c r="AK67" s="82">
        <f t="shared" si="84"/>
        <v>0</v>
      </c>
      <c r="AL67" s="78">
        <v>127.0</v>
      </c>
      <c r="AM67" s="79">
        <v>127.0</v>
      </c>
      <c r="AN67" s="82">
        <f t="shared" si="86"/>
        <v>0</v>
      </c>
      <c r="AO67" s="78">
        <v>127.0</v>
      </c>
      <c r="AP67" s="79">
        <v>127.0</v>
      </c>
      <c r="AQ67" s="82">
        <f t="shared" si="88"/>
        <v>0</v>
      </c>
      <c r="AR67" s="78">
        <v>127.0</v>
      </c>
      <c r="AS67" s="79">
        <v>127.0</v>
      </c>
      <c r="AT67" s="82">
        <f t="shared" si="90"/>
        <v>0</v>
      </c>
      <c r="AU67" s="78">
        <v>127.0</v>
      </c>
      <c r="AV67" s="79">
        <v>127.0</v>
      </c>
      <c r="AW67" s="82">
        <f t="shared" si="92"/>
        <v>0</v>
      </c>
      <c r="AX67" s="78">
        <v>127.0</v>
      </c>
      <c r="AY67" s="79">
        <v>127.0</v>
      </c>
      <c r="AZ67" s="82">
        <f t="shared" si="94"/>
        <v>0</v>
      </c>
      <c r="BA67" s="78">
        <v>127.0</v>
      </c>
      <c r="BB67" s="79">
        <v>127.0</v>
      </c>
      <c r="BC67" s="82">
        <f t="shared" si="96"/>
        <v>0</v>
      </c>
      <c r="BD67" s="16"/>
      <c r="BE67" s="78">
        <v>127.0</v>
      </c>
      <c r="BF67" s="79">
        <v>127.0</v>
      </c>
      <c r="BG67" s="82">
        <f t="shared" si="98"/>
        <v>0</v>
      </c>
      <c r="BH67" s="78">
        <v>127.0</v>
      </c>
      <c r="BI67" s="79">
        <v>127.0</v>
      </c>
      <c r="BJ67" s="82">
        <f t="shared" si="100"/>
        <v>0</v>
      </c>
      <c r="BK67" s="78"/>
      <c r="BL67" s="79"/>
      <c r="BM67" s="82">
        <f t="shared" si="102"/>
        <v>0</v>
      </c>
    </row>
    <row r="68" ht="15.75" customHeight="1" outlineLevel="1">
      <c r="A68" s="84"/>
      <c r="B68" s="26"/>
      <c r="C68" s="85" t="s">
        <v>9</v>
      </c>
      <c r="D68" s="84"/>
      <c r="E68" s="86">
        <f t="shared" ref="E68:H68" si="618">IFERROR(E66/E67,0)</f>
        <v>0</v>
      </c>
      <c r="F68" s="87">
        <f t="shared" si="618"/>
        <v>131.9968229</v>
      </c>
      <c r="G68" s="87">
        <f t="shared" si="618"/>
        <v>107.7496063</v>
      </c>
      <c r="H68" s="88">
        <f t="shared" si="618"/>
        <v>127.616458</v>
      </c>
      <c r="I68" s="31"/>
      <c r="J68" s="86" t="s">
        <v>7</v>
      </c>
      <c r="K68" s="87">
        <f>IFERROR(K66/K67,0)</f>
        <v>0</v>
      </c>
      <c r="L68" s="88" t="s">
        <v>7</v>
      </c>
      <c r="M68" s="86" t="s">
        <v>7</v>
      </c>
      <c r="N68" s="87">
        <f>IFERROR(N66/N67,0)</f>
        <v>0</v>
      </c>
      <c r="O68" s="88" t="s">
        <v>7</v>
      </c>
      <c r="P68" s="86" t="s">
        <v>7</v>
      </c>
      <c r="Q68" s="87">
        <f>IFERROR(Q66/Q67,0)</f>
        <v>0</v>
      </c>
      <c r="R68" s="88" t="s">
        <v>7</v>
      </c>
      <c r="S68" s="84"/>
      <c r="T68" s="86" t="s">
        <v>7</v>
      </c>
      <c r="U68" s="87">
        <f>IFERROR(U66/U67,0)</f>
        <v>0</v>
      </c>
      <c r="V68" s="88" t="s">
        <v>7</v>
      </c>
      <c r="W68" s="86" t="s">
        <v>7</v>
      </c>
      <c r="X68" s="87">
        <f>IFERROR(X66/X67,0)</f>
        <v>1990.108</v>
      </c>
      <c r="Y68" s="88" t="s">
        <v>7</v>
      </c>
      <c r="Z68" s="86">
        <f t="shared" ref="Z68:AA68" si="619">IFERROR(Z66/Z67,0)</f>
        <v>157.480315</v>
      </c>
      <c r="AA68" s="87">
        <f t="shared" si="619"/>
        <v>4738</v>
      </c>
      <c r="AB68" s="89">
        <f t="shared" si="78"/>
        <v>29.0863</v>
      </c>
      <c r="AC68" s="86">
        <f t="shared" ref="AC68:AD68" si="620">IFERROR(AC66/AC67,0)</f>
        <v>107.7496063</v>
      </c>
      <c r="AD68" s="87">
        <f t="shared" si="620"/>
        <v>107.7496063</v>
      </c>
      <c r="AE68" s="89">
        <f t="shared" si="80"/>
        <v>0</v>
      </c>
      <c r="AF68" s="86">
        <f t="shared" ref="AF68:AG68" si="621">IFERROR(AF66/AF67,0)</f>
        <v>107.7496063</v>
      </c>
      <c r="AG68" s="87">
        <f t="shared" si="621"/>
        <v>107.7496063</v>
      </c>
      <c r="AH68" s="89">
        <f t="shared" si="82"/>
        <v>0</v>
      </c>
      <c r="AI68" s="86">
        <f t="shared" ref="AI68:AJ68" si="622">IFERROR(AI66/AI67,0)</f>
        <v>107.7496063</v>
      </c>
      <c r="AJ68" s="87">
        <f t="shared" si="622"/>
        <v>107.7496063</v>
      </c>
      <c r="AK68" s="89">
        <f t="shared" si="84"/>
        <v>0</v>
      </c>
      <c r="AL68" s="86">
        <f t="shared" ref="AL68:AM68" si="623">IFERROR(AL66/AL67,0)</f>
        <v>107.7496063</v>
      </c>
      <c r="AM68" s="87">
        <f t="shared" si="623"/>
        <v>107.7496063</v>
      </c>
      <c r="AN68" s="89">
        <f t="shared" si="86"/>
        <v>0</v>
      </c>
      <c r="AO68" s="86">
        <f t="shared" ref="AO68:AP68" si="624">IFERROR(AO66/AO67,0)</f>
        <v>107.7496063</v>
      </c>
      <c r="AP68" s="87">
        <f t="shared" si="624"/>
        <v>107.7496063</v>
      </c>
      <c r="AQ68" s="89">
        <f t="shared" si="88"/>
        <v>0</v>
      </c>
      <c r="AR68" s="86">
        <f t="shared" ref="AR68:AS68" si="625">IFERROR(AR66/AR67,0)</f>
        <v>107.7496063</v>
      </c>
      <c r="AS68" s="87">
        <f t="shared" si="625"/>
        <v>107.7496063</v>
      </c>
      <c r="AT68" s="89">
        <f t="shared" si="90"/>
        <v>0</v>
      </c>
      <c r="AU68" s="86">
        <f t="shared" ref="AU68:AV68" si="626">IFERROR(AU66/AU67,0)</f>
        <v>107.7496063</v>
      </c>
      <c r="AV68" s="87">
        <f t="shared" si="626"/>
        <v>107.7496063</v>
      </c>
      <c r="AW68" s="89">
        <f t="shared" si="92"/>
        <v>0</v>
      </c>
      <c r="AX68" s="86">
        <f t="shared" ref="AX68:AY68" si="627">IFERROR(AX66/AX67,0)</f>
        <v>107.7496063</v>
      </c>
      <c r="AY68" s="87">
        <f t="shared" si="627"/>
        <v>107.7496063</v>
      </c>
      <c r="AZ68" s="89">
        <f t="shared" si="94"/>
        <v>0</v>
      </c>
      <c r="BA68" s="86">
        <f t="shared" ref="BA68:BB68" si="628">IFERROR(BA66/BA67,0)</f>
        <v>107.7496063</v>
      </c>
      <c r="BB68" s="87">
        <f t="shared" si="628"/>
        <v>107.7496063</v>
      </c>
      <c r="BC68" s="89">
        <f t="shared" si="96"/>
        <v>0</v>
      </c>
      <c r="BD68" s="31"/>
      <c r="BE68" s="86">
        <f t="shared" ref="BE68:BF68" si="629">IFERROR(BE66/BE67,0)</f>
        <v>107.7496063</v>
      </c>
      <c r="BF68" s="87">
        <f t="shared" si="629"/>
        <v>107.7496063</v>
      </c>
      <c r="BG68" s="89">
        <f t="shared" si="98"/>
        <v>0</v>
      </c>
      <c r="BH68" s="86">
        <f t="shared" ref="BH68:BI68" si="630">IFERROR(BH66/BH67,0)</f>
        <v>107.7496063</v>
      </c>
      <c r="BI68" s="87">
        <f t="shared" si="630"/>
        <v>107.7496063</v>
      </c>
      <c r="BJ68" s="89">
        <f t="shared" si="100"/>
        <v>0</v>
      </c>
      <c r="BK68" s="86">
        <f t="shared" ref="BK68:BL68" si="631">IFERROR(BK66/BK67,0)</f>
        <v>0</v>
      </c>
      <c r="BL68" s="87">
        <f t="shared" si="631"/>
        <v>0</v>
      </c>
      <c r="BM68" s="89">
        <f t="shared" si="102"/>
        <v>0</v>
      </c>
    </row>
    <row r="69" ht="15.75" customHeight="1" outlineLevel="1">
      <c r="A69" s="69"/>
      <c r="B69" s="99" t="s">
        <v>30</v>
      </c>
      <c r="C69" s="71" t="s">
        <v>6</v>
      </c>
      <c r="D69" s="69"/>
      <c r="E69" s="72">
        <f t="shared" ref="E69:E70" si="632">K69+N69+Q69</f>
        <v>0</v>
      </c>
      <c r="F69" s="73">
        <f t="shared" ref="F69:F70" si="633">U69+X69+AA69+AD69+AG69+AJ69+AM69+AP69+AS69+AV69+AY69+BB69</f>
        <v>46997</v>
      </c>
      <c r="G69" s="73">
        <f t="shared" ref="G69:G70" si="634">BF69+BI69+BL69</f>
        <v>0</v>
      </c>
      <c r="H69" s="74">
        <f t="shared" ref="H69:H70" si="635">SUM(E69:G69)</f>
        <v>46997</v>
      </c>
      <c r="I69" s="16"/>
      <c r="J69" s="72" t="s">
        <v>7</v>
      </c>
      <c r="K69" s="73"/>
      <c r="L69" s="74" t="s">
        <v>7</v>
      </c>
      <c r="M69" s="72" t="s">
        <v>7</v>
      </c>
      <c r="N69" s="73"/>
      <c r="O69" s="74" t="s">
        <v>7</v>
      </c>
      <c r="P69" s="72" t="s">
        <v>7</v>
      </c>
      <c r="Q69" s="73"/>
      <c r="R69" s="74" t="s">
        <v>7</v>
      </c>
      <c r="S69" s="69"/>
      <c r="T69" s="72" t="s">
        <v>7</v>
      </c>
      <c r="U69" s="73"/>
      <c r="V69" s="74" t="s">
        <v>7</v>
      </c>
      <c r="W69" s="72" t="s">
        <v>7</v>
      </c>
      <c r="X69" s="73"/>
      <c r="Y69" s="74" t="s">
        <v>7</v>
      </c>
      <c r="Z69" s="93">
        <v>0.0</v>
      </c>
      <c r="AA69" s="75">
        <v>0.0</v>
      </c>
      <c r="AB69" s="76">
        <f t="shared" si="78"/>
        <v>0</v>
      </c>
      <c r="AC69" s="72">
        <v>15999.0</v>
      </c>
      <c r="AD69" s="73">
        <v>15999.0</v>
      </c>
      <c r="AE69" s="76">
        <f t="shared" si="80"/>
        <v>0</v>
      </c>
      <c r="AF69" s="72">
        <v>15499.0</v>
      </c>
      <c r="AG69" s="73">
        <v>15499.0</v>
      </c>
      <c r="AH69" s="76">
        <f t="shared" si="82"/>
        <v>0</v>
      </c>
      <c r="AI69" s="72">
        <v>15499.0</v>
      </c>
      <c r="AJ69" s="73">
        <v>15499.0</v>
      </c>
      <c r="AK69" s="76">
        <f t="shared" si="84"/>
        <v>0</v>
      </c>
      <c r="AL69" s="72"/>
      <c r="AM69" s="73"/>
      <c r="AN69" s="76"/>
      <c r="AO69" s="72"/>
      <c r="AP69" s="73"/>
      <c r="AQ69" s="76"/>
      <c r="AR69" s="72"/>
      <c r="AS69" s="73"/>
      <c r="AT69" s="76"/>
      <c r="AU69" s="72"/>
      <c r="AV69" s="73"/>
      <c r="AW69" s="76"/>
      <c r="AX69" s="72"/>
      <c r="AY69" s="73"/>
      <c r="AZ69" s="76"/>
      <c r="BA69" s="72"/>
      <c r="BB69" s="73"/>
      <c r="BC69" s="76"/>
      <c r="BD69" s="16"/>
      <c r="BE69" s="72"/>
      <c r="BF69" s="73"/>
      <c r="BG69" s="76"/>
      <c r="BH69" s="72"/>
      <c r="BI69" s="73"/>
      <c r="BJ69" s="76"/>
      <c r="BK69" s="72"/>
      <c r="BL69" s="73"/>
      <c r="BM69" s="76"/>
    </row>
    <row r="70" ht="15.75" customHeight="1" outlineLevel="1">
      <c r="A70" s="69"/>
      <c r="B70" s="20"/>
      <c r="C70" s="77" t="s">
        <v>8</v>
      </c>
      <c r="D70" s="69"/>
      <c r="E70" s="78">
        <f t="shared" si="632"/>
        <v>0</v>
      </c>
      <c r="F70" s="79">
        <f t="shared" si="633"/>
        <v>728</v>
      </c>
      <c r="G70" s="79">
        <f t="shared" si="634"/>
        <v>0</v>
      </c>
      <c r="H70" s="80">
        <f t="shared" si="635"/>
        <v>728</v>
      </c>
      <c r="I70" s="16"/>
      <c r="J70" s="78" t="s">
        <v>7</v>
      </c>
      <c r="K70" s="79"/>
      <c r="L70" s="80" t="s">
        <v>7</v>
      </c>
      <c r="M70" s="78" t="s">
        <v>7</v>
      </c>
      <c r="N70" s="79"/>
      <c r="O70" s="80" t="s">
        <v>7</v>
      </c>
      <c r="P70" s="78" t="s">
        <v>7</v>
      </c>
      <c r="Q70" s="79"/>
      <c r="R70" s="80" t="s">
        <v>7</v>
      </c>
      <c r="S70" s="69"/>
      <c r="T70" s="78" t="s">
        <v>7</v>
      </c>
      <c r="U70" s="79"/>
      <c r="V70" s="80" t="s">
        <v>7</v>
      </c>
      <c r="W70" s="78" t="s">
        <v>7</v>
      </c>
      <c r="X70" s="79"/>
      <c r="Y70" s="80" t="s">
        <v>7</v>
      </c>
      <c r="Z70" s="92">
        <v>0.0</v>
      </c>
      <c r="AA70" s="81">
        <v>0.0</v>
      </c>
      <c r="AB70" s="82">
        <f t="shared" si="78"/>
        <v>0</v>
      </c>
      <c r="AC70" s="78">
        <v>228.0</v>
      </c>
      <c r="AD70" s="79">
        <v>228.0</v>
      </c>
      <c r="AE70" s="82">
        <f t="shared" si="80"/>
        <v>0</v>
      </c>
      <c r="AF70" s="78">
        <v>250.0</v>
      </c>
      <c r="AG70" s="79">
        <v>250.0</v>
      </c>
      <c r="AH70" s="82">
        <f t="shared" si="82"/>
        <v>0</v>
      </c>
      <c r="AI70" s="78">
        <v>250.0</v>
      </c>
      <c r="AJ70" s="79">
        <v>250.0</v>
      </c>
      <c r="AK70" s="82">
        <f t="shared" si="84"/>
        <v>0</v>
      </c>
      <c r="AL70" s="78"/>
      <c r="AM70" s="79"/>
      <c r="AN70" s="82"/>
      <c r="AO70" s="78"/>
      <c r="AP70" s="79"/>
      <c r="AQ70" s="82"/>
      <c r="AR70" s="78"/>
      <c r="AS70" s="79"/>
      <c r="AT70" s="82"/>
      <c r="AU70" s="78"/>
      <c r="AV70" s="79"/>
      <c r="AW70" s="82"/>
      <c r="AX70" s="78"/>
      <c r="AY70" s="79"/>
      <c r="AZ70" s="82"/>
      <c r="BA70" s="78"/>
      <c r="BB70" s="79"/>
      <c r="BC70" s="82"/>
      <c r="BD70" s="16"/>
      <c r="BE70" s="78"/>
      <c r="BF70" s="79"/>
      <c r="BG70" s="82"/>
      <c r="BH70" s="78"/>
      <c r="BI70" s="79"/>
      <c r="BJ70" s="82"/>
      <c r="BK70" s="78"/>
      <c r="BL70" s="79"/>
      <c r="BM70" s="82"/>
    </row>
    <row r="71" ht="15.75" customHeight="1" outlineLevel="1">
      <c r="A71" s="84"/>
      <c r="B71" s="26"/>
      <c r="C71" s="85" t="s">
        <v>9</v>
      </c>
      <c r="D71" s="84"/>
      <c r="E71" s="86">
        <f t="shared" ref="E71:H71" si="636">IFERROR(E69/E70,0)</f>
        <v>0</v>
      </c>
      <c r="F71" s="87">
        <f t="shared" si="636"/>
        <v>64.55631868</v>
      </c>
      <c r="G71" s="87">
        <f t="shared" si="636"/>
        <v>0</v>
      </c>
      <c r="H71" s="88">
        <f t="shared" si="636"/>
        <v>64.55631868</v>
      </c>
      <c r="I71" s="31"/>
      <c r="J71" s="86" t="s">
        <v>7</v>
      </c>
      <c r="K71" s="87">
        <f>IFERROR(K69/K70,0)</f>
        <v>0</v>
      </c>
      <c r="L71" s="88" t="s">
        <v>7</v>
      </c>
      <c r="M71" s="86" t="s">
        <v>7</v>
      </c>
      <c r="N71" s="87">
        <f>IFERROR(N69/N70,0)</f>
        <v>0</v>
      </c>
      <c r="O71" s="88" t="s">
        <v>7</v>
      </c>
      <c r="P71" s="86" t="s">
        <v>7</v>
      </c>
      <c r="Q71" s="87">
        <f>IFERROR(Q69/Q70,0)</f>
        <v>0</v>
      </c>
      <c r="R71" s="88" t="s">
        <v>7</v>
      </c>
      <c r="S71" s="84"/>
      <c r="T71" s="86" t="s">
        <v>7</v>
      </c>
      <c r="U71" s="87">
        <f>IFERROR(U69/U70,0)</f>
        <v>0</v>
      </c>
      <c r="V71" s="88" t="s">
        <v>7</v>
      </c>
      <c r="W71" s="86" t="s">
        <v>7</v>
      </c>
      <c r="X71" s="87">
        <f>IFERROR(X69/X70,0)</f>
        <v>0</v>
      </c>
      <c r="Y71" s="88" t="s">
        <v>7</v>
      </c>
      <c r="Z71" s="86">
        <f t="shared" ref="Z71:AA71" si="637">IFERROR(Z69/Z70,0)</f>
        <v>0</v>
      </c>
      <c r="AA71" s="87">
        <f t="shared" si="637"/>
        <v>0</v>
      </c>
      <c r="AB71" s="89">
        <f t="shared" si="78"/>
        <v>0</v>
      </c>
      <c r="AC71" s="86">
        <f t="shared" ref="AC71:AD71" si="638">IFERROR(AC69/AC70,0)</f>
        <v>70.17105263</v>
      </c>
      <c r="AD71" s="87">
        <f t="shared" si="638"/>
        <v>70.17105263</v>
      </c>
      <c r="AE71" s="89">
        <f t="shared" si="80"/>
        <v>0</v>
      </c>
      <c r="AF71" s="86">
        <f t="shared" ref="AF71:AG71" si="639">IFERROR(AF69/AF70,0)</f>
        <v>61.996</v>
      </c>
      <c r="AG71" s="87">
        <f t="shared" si="639"/>
        <v>61.996</v>
      </c>
      <c r="AH71" s="89">
        <f t="shared" si="82"/>
        <v>0</v>
      </c>
      <c r="AI71" s="86">
        <f t="shared" ref="AI71:AJ71" si="640">IFERROR(AI69/AI70,0)</f>
        <v>61.996</v>
      </c>
      <c r="AJ71" s="87">
        <f t="shared" si="640"/>
        <v>61.996</v>
      </c>
      <c r="AK71" s="89">
        <f t="shared" si="84"/>
        <v>0</v>
      </c>
      <c r="AL71" s="86">
        <f t="shared" ref="AL71:AM71" si="641">IFERROR(AL69/AL70,0)</f>
        <v>0</v>
      </c>
      <c r="AM71" s="87">
        <f t="shared" si="641"/>
        <v>0</v>
      </c>
      <c r="AN71" s="89">
        <f t="shared" ref="AN71:AN146" si="653">IFERROR(((AM71-AL71)/AL71),0)</f>
        <v>0</v>
      </c>
      <c r="AO71" s="86">
        <f t="shared" ref="AO71:AP71" si="642">IFERROR(AO69/AO70,0)</f>
        <v>0</v>
      </c>
      <c r="AP71" s="87">
        <f t="shared" si="642"/>
        <v>0</v>
      </c>
      <c r="AQ71" s="89">
        <f t="shared" ref="AQ71:AQ146" si="655">IFERROR(((AP71-AO71)/AO71),0)</f>
        <v>0</v>
      </c>
      <c r="AR71" s="86">
        <f t="shared" ref="AR71:AS71" si="643">IFERROR(AR69/AR70,0)</f>
        <v>0</v>
      </c>
      <c r="AS71" s="87">
        <f t="shared" si="643"/>
        <v>0</v>
      </c>
      <c r="AT71" s="89">
        <f t="shared" ref="AT71:AT146" si="657">IFERROR(((AS71-AR71)/AR71),0)</f>
        <v>0</v>
      </c>
      <c r="AU71" s="86">
        <f t="shared" ref="AU71:AV71" si="644">IFERROR(AU69/AU70,0)</f>
        <v>0</v>
      </c>
      <c r="AV71" s="87">
        <f t="shared" si="644"/>
        <v>0</v>
      </c>
      <c r="AW71" s="89">
        <f t="shared" ref="AW71:AW146" si="659">IFERROR(((AV71-AU71)/AU71),0)</f>
        <v>0</v>
      </c>
      <c r="AX71" s="86">
        <f t="shared" ref="AX71:AY71" si="645">IFERROR(AX69/AX70,0)</f>
        <v>0</v>
      </c>
      <c r="AY71" s="87">
        <f t="shared" si="645"/>
        <v>0</v>
      </c>
      <c r="AZ71" s="89">
        <f t="shared" ref="AZ71:AZ146" si="661">IFERROR(((AY71-AX71)/AX71),0)</f>
        <v>0</v>
      </c>
      <c r="BA71" s="86">
        <f t="shared" ref="BA71:BB71" si="646">IFERROR(BA69/BA70,0)</f>
        <v>0</v>
      </c>
      <c r="BB71" s="87">
        <f t="shared" si="646"/>
        <v>0</v>
      </c>
      <c r="BC71" s="89">
        <f t="shared" ref="BC71:BC146" si="663">IFERROR(((BB71-BA71)/BA71),0)</f>
        <v>0</v>
      </c>
      <c r="BD71" s="31"/>
      <c r="BE71" s="86"/>
      <c r="BF71" s="87"/>
      <c r="BG71" s="89"/>
      <c r="BH71" s="86"/>
      <c r="BI71" s="87"/>
      <c r="BJ71" s="89"/>
      <c r="BK71" s="86"/>
      <c r="BL71" s="87"/>
      <c r="BM71" s="89"/>
    </row>
    <row r="72" ht="15.75" customHeight="1">
      <c r="A72" s="35"/>
      <c r="B72" s="36" t="s">
        <v>31</v>
      </c>
      <c r="C72" s="37" t="s">
        <v>6</v>
      </c>
      <c r="D72" s="2"/>
      <c r="E72" s="38">
        <f t="shared" ref="E72:G72" si="647">E75+E87+E78+E81+E84</f>
        <v>304660.36</v>
      </c>
      <c r="F72" s="39">
        <f t="shared" si="647"/>
        <v>1827466.653</v>
      </c>
      <c r="G72" s="39">
        <f t="shared" si="647"/>
        <v>46232.52878</v>
      </c>
      <c r="H72" s="40">
        <f t="shared" ref="H72:H73" si="668">SUM(E72:G72)</f>
        <v>2178359.542</v>
      </c>
      <c r="I72" s="16"/>
      <c r="J72" s="38" t="s">
        <v>7</v>
      </c>
      <c r="K72" s="39">
        <f t="shared" ref="K72:K73" si="669">K75+K87+K78+K81+K84</f>
        <v>0</v>
      </c>
      <c r="L72" s="40" t="s">
        <v>7</v>
      </c>
      <c r="M72" s="38" t="s">
        <v>7</v>
      </c>
      <c r="N72" s="39">
        <f t="shared" ref="N72:N73" si="670">N75+N87+N78+N81+N84</f>
        <v>121023.18</v>
      </c>
      <c r="O72" s="40" t="s">
        <v>7</v>
      </c>
      <c r="P72" s="38" t="s">
        <v>7</v>
      </c>
      <c r="Q72" s="39">
        <f t="shared" ref="Q72:Q73" si="671">Q75+Q87+Q78+Q81+Q84</f>
        <v>183637.18</v>
      </c>
      <c r="R72" s="40" t="s">
        <v>7</v>
      </c>
      <c r="S72" s="2"/>
      <c r="T72" s="38" t="s">
        <v>7</v>
      </c>
      <c r="U72" s="39">
        <f t="shared" ref="U72:U73" si="672">U75+U87+U78+U81+U84</f>
        <v>241262.724</v>
      </c>
      <c r="V72" s="40" t="s">
        <v>7</v>
      </c>
      <c r="W72" s="38" t="s">
        <v>7</v>
      </c>
      <c r="X72" s="39">
        <f t="shared" ref="X72:X73" si="673">X75+X87+X78+X81+X84</f>
        <v>254373.576</v>
      </c>
      <c r="Y72" s="40" t="s">
        <v>7</v>
      </c>
      <c r="Z72" s="38">
        <f t="shared" ref="Z72:AA72" si="648">Z75+Z87+Z78+Z81+Z84</f>
        <v>167783.5906</v>
      </c>
      <c r="AA72" s="39">
        <f t="shared" si="648"/>
        <v>174959.3244</v>
      </c>
      <c r="AB72" s="41">
        <f t="shared" si="78"/>
        <v>0.04276779266</v>
      </c>
      <c r="AC72" s="38">
        <f t="shared" ref="AC72:AD72" si="649">AC75+AC87+AC78+AC81+AC84</f>
        <v>169381.4294</v>
      </c>
      <c r="AD72" s="39">
        <f t="shared" si="649"/>
        <v>167620.2135</v>
      </c>
      <c r="AE72" s="41">
        <f t="shared" si="80"/>
        <v>-0.01039792753</v>
      </c>
      <c r="AF72" s="38">
        <f t="shared" ref="AF72:AG72" si="650">AF75+AF87+AF78+AF81+AF84</f>
        <v>167883.8844</v>
      </c>
      <c r="AG72" s="39">
        <f t="shared" si="650"/>
        <v>167883.8844</v>
      </c>
      <c r="AH72" s="41">
        <f t="shared" si="82"/>
        <v>0</v>
      </c>
      <c r="AI72" s="38">
        <f t="shared" ref="AI72:AJ72" si="651">AI75+AI87+AI78+AI81+AI84</f>
        <v>167883.8844</v>
      </c>
      <c r="AJ72" s="39">
        <f t="shared" si="651"/>
        <v>167883.8844</v>
      </c>
      <c r="AK72" s="41">
        <f t="shared" si="84"/>
        <v>0</v>
      </c>
      <c r="AL72" s="38">
        <f t="shared" ref="AL72:AM72" si="652">AL75+AL87+AL78+AL81+AL84</f>
        <v>167883.8844</v>
      </c>
      <c r="AM72" s="39">
        <f t="shared" si="652"/>
        <v>167883.8844</v>
      </c>
      <c r="AN72" s="41">
        <f t="shared" si="653"/>
        <v>0</v>
      </c>
      <c r="AO72" s="38">
        <f t="shared" ref="AO72:AP72" si="654">AO75+AO87+AO78+AO81+AO84</f>
        <v>97939.84439</v>
      </c>
      <c r="AP72" s="39">
        <f t="shared" si="654"/>
        <v>97939.84439</v>
      </c>
      <c r="AQ72" s="41">
        <f t="shared" si="655"/>
        <v>0</v>
      </c>
      <c r="AR72" s="38">
        <f t="shared" ref="AR72:AS72" si="656">AR75+AR87+AR78+AR81+AR84</f>
        <v>97939.84439</v>
      </c>
      <c r="AS72" s="39">
        <f t="shared" si="656"/>
        <v>97939.84439</v>
      </c>
      <c r="AT72" s="41">
        <f t="shared" si="657"/>
        <v>0</v>
      </c>
      <c r="AU72" s="38">
        <f t="shared" ref="AU72:AV72" si="658">AU75+AU87+AU78+AU81+AU84</f>
        <v>97939.84439</v>
      </c>
      <c r="AV72" s="39">
        <f t="shared" si="658"/>
        <v>97939.84439</v>
      </c>
      <c r="AW72" s="41">
        <f t="shared" si="659"/>
        <v>0</v>
      </c>
      <c r="AX72" s="38">
        <f t="shared" ref="AX72:AY72" si="660">AX75+AX87+AX78+AX81+AX84</f>
        <v>97939.84439</v>
      </c>
      <c r="AY72" s="39">
        <f t="shared" si="660"/>
        <v>97939.84439</v>
      </c>
      <c r="AZ72" s="41">
        <f t="shared" si="661"/>
        <v>0</v>
      </c>
      <c r="BA72" s="38">
        <f t="shared" ref="BA72:BB72" si="662">BA75+BA87+BA78+BA81+BA84</f>
        <v>93839.78439</v>
      </c>
      <c r="BB72" s="39">
        <f t="shared" si="662"/>
        <v>93839.78439</v>
      </c>
      <c r="BC72" s="41">
        <f t="shared" si="663"/>
        <v>0</v>
      </c>
      <c r="BD72" s="16"/>
      <c r="BE72" s="38">
        <f t="shared" ref="BE72:BF72" si="664">BE75+BE87+BE78+BE81+BE84</f>
        <v>23116.26439</v>
      </c>
      <c r="BF72" s="39">
        <f t="shared" si="664"/>
        <v>23116.26439</v>
      </c>
      <c r="BG72" s="41">
        <f t="shared" ref="BG72:BG146" si="685">IFERROR(((BF72-BE72)/BE72),0)</f>
        <v>0</v>
      </c>
      <c r="BH72" s="38">
        <f t="shared" ref="BH72:BI72" si="665">BH75+BH87+BH78+BH81+BH84</f>
        <v>23116.26439</v>
      </c>
      <c r="BI72" s="39">
        <f t="shared" si="665"/>
        <v>23116.26439</v>
      </c>
      <c r="BJ72" s="41">
        <f t="shared" ref="BJ72:BJ146" si="687">IFERROR(((BI72-BH72)/BH72),0)</f>
        <v>0</v>
      </c>
      <c r="BK72" s="38">
        <f t="shared" ref="BK72:BL72" si="666">BK75+BK87+BK78+BK81+BK84</f>
        <v>0</v>
      </c>
      <c r="BL72" s="39">
        <f t="shared" si="666"/>
        <v>0</v>
      </c>
      <c r="BM72" s="41">
        <f t="shared" ref="BM72:BM150" si="689">IFERROR(((BL72-BK72)/BK72),0)</f>
        <v>0</v>
      </c>
    </row>
    <row r="73" ht="15.75" customHeight="1">
      <c r="B73" s="20"/>
      <c r="C73" s="42" t="s">
        <v>8</v>
      </c>
      <c r="D73" s="2"/>
      <c r="E73" s="43">
        <f t="shared" ref="E73:G73" si="667">E76+E88+E79+E82+E85</f>
        <v>0</v>
      </c>
      <c r="F73" s="44">
        <f t="shared" si="667"/>
        <v>29718</v>
      </c>
      <c r="G73" s="44">
        <f t="shared" si="667"/>
        <v>20</v>
      </c>
      <c r="H73" s="45">
        <f t="shared" si="668"/>
        <v>29738</v>
      </c>
      <c r="I73" s="16"/>
      <c r="J73" s="100" t="s">
        <v>7</v>
      </c>
      <c r="K73" s="44">
        <f t="shared" si="669"/>
        <v>0</v>
      </c>
      <c r="L73" s="45" t="s">
        <v>7</v>
      </c>
      <c r="M73" s="43" t="s">
        <v>7</v>
      </c>
      <c r="N73" s="44">
        <f t="shared" si="670"/>
        <v>0</v>
      </c>
      <c r="O73" s="45" t="s">
        <v>7</v>
      </c>
      <c r="P73" s="43" t="s">
        <v>7</v>
      </c>
      <c r="Q73" s="44">
        <f t="shared" si="671"/>
        <v>0</v>
      </c>
      <c r="R73" s="45" t="s">
        <v>7</v>
      </c>
      <c r="S73" s="2"/>
      <c r="T73" s="43" t="s">
        <v>7</v>
      </c>
      <c r="U73" s="44">
        <f t="shared" si="672"/>
        <v>62</v>
      </c>
      <c r="V73" s="45" t="s">
        <v>7</v>
      </c>
      <c r="W73" s="43" t="s">
        <v>7</v>
      </c>
      <c r="X73" s="44">
        <f t="shared" si="673"/>
        <v>179</v>
      </c>
      <c r="Y73" s="45" t="s">
        <v>7</v>
      </c>
      <c r="Z73" s="43">
        <f t="shared" ref="Z73:AA73" si="674">Z76+Z88+Z79+Z82+Z85</f>
        <v>2561</v>
      </c>
      <c r="AA73" s="44">
        <f t="shared" si="674"/>
        <v>93</v>
      </c>
      <c r="AB73" s="46">
        <f t="shared" si="78"/>
        <v>-0.9636860601</v>
      </c>
      <c r="AC73" s="43">
        <f t="shared" ref="AC73:AD73" si="675">AC76+AC88+AC79+AC82+AC85</f>
        <v>2973</v>
      </c>
      <c r="AD73" s="44">
        <f t="shared" si="675"/>
        <v>2973</v>
      </c>
      <c r="AE73" s="46">
        <f t="shared" si="80"/>
        <v>0</v>
      </c>
      <c r="AF73" s="43">
        <f t="shared" ref="AF73:AG73" si="676">AF76+AF88+AF79+AF82+AF85</f>
        <v>3797</v>
      </c>
      <c r="AG73" s="44">
        <f t="shared" si="676"/>
        <v>3797</v>
      </c>
      <c r="AH73" s="46">
        <f t="shared" si="82"/>
        <v>0</v>
      </c>
      <c r="AI73" s="43">
        <f t="shared" ref="AI73:AJ73" si="677">AI76+AI88+AI79+AI82+AI85</f>
        <v>4346</v>
      </c>
      <c r="AJ73" s="44">
        <f t="shared" si="677"/>
        <v>4346</v>
      </c>
      <c r="AK73" s="46">
        <f t="shared" si="84"/>
        <v>0</v>
      </c>
      <c r="AL73" s="43">
        <f t="shared" ref="AL73:AM73" si="678">AL76+AL88+AL79+AL82+AL85</f>
        <v>4346</v>
      </c>
      <c r="AM73" s="44">
        <f t="shared" si="678"/>
        <v>4346</v>
      </c>
      <c r="AN73" s="46">
        <f t="shared" si="653"/>
        <v>0</v>
      </c>
      <c r="AO73" s="43">
        <f t="shared" ref="AO73:AP73" si="679">AO76+AO88+AO79+AO82+AO85</f>
        <v>3709</v>
      </c>
      <c r="AP73" s="44">
        <f t="shared" si="679"/>
        <v>3709</v>
      </c>
      <c r="AQ73" s="46">
        <f t="shared" si="655"/>
        <v>0</v>
      </c>
      <c r="AR73" s="43">
        <f t="shared" ref="AR73:AS73" si="680">AR76+AR88+AR79+AR82+AR85</f>
        <v>3434</v>
      </c>
      <c r="AS73" s="44">
        <f t="shared" si="680"/>
        <v>3434</v>
      </c>
      <c r="AT73" s="46">
        <f t="shared" si="657"/>
        <v>0</v>
      </c>
      <c r="AU73" s="43">
        <f t="shared" ref="AU73:AV73" si="681">AU76+AU88+AU79+AU82+AU85</f>
        <v>3434</v>
      </c>
      <c r="AV73" s="44">
        <f t="shared" si="681"/>
        <v>3434</v>
      </c>
      <c r="AW73" s="46">
        <f t="shared" si="659"/>
        <v>0</v>
      </c>
      <c r="AX73" s="43">
        <f t="shared" ref="AX73:AY73" si="682">AX76+AX88+AX79+AX82+AX85</f>
        <v>2611</v>
      </c>
      <c r="AY73" s="44">
        <f t="shared" si="682"/>
        <v>2611</v>
      </c>
      <c r="AZ73" s="46">
        <f t="shared" si="661"/>
        <v>0</v>
      </c>
      <c r="BA73" s="43">
        <f t="shared" ref="BA73:BB73" si="683">BA76+BA88+BA79+BA82+BA85</f>
        <v>734</v>
      </c>
      <c r="BB73" s="44">
        <f t="shared" si="683"/>
        <v>734</v>
      </c>
      <c r="BC73" s="46">
        <f t="shared" si="663"/>
        <v>0</v>
      </c>
      <c r="BD73" s="16"/>
      <c r="BE73" s="43">
        <f t="shared" ref="BE73:BF73" si="684">BE76+BE88+BE79+BE82+BE85</f>
        <v>10</v>
      </c>
      <c r="BF73" s="44">
        <f t="shared" si="684"/>
        <v>10</v>
      </c>
      <c r="BG73" s="46">
        <f t="shared" si="685"/>
        <v>0</v>
      </c>
      <c r="BH73" s="43">
        <f t="shared" ref="BH73:BI73" si="686">BH76+BH88+BH79+BH82+BH85</f>
        <v>10</v>
      </c>
      <c r="BI73" s="44">
        <f t="shared" si="686"/>
        <v>10</v>
      </c>
      <c r="BJ73" s="46">
        <f t="shared" si="687"/>
        <v>0</v>
      </c>
      <c r="BK73" s="43">
        <f t="shared" ref="BK73:BL73" si="688">BK76+BK88+BK79+BK82+BK85</f>
        <v>0</v>
      </c>
      <c r="BL73" s="44">
        <f t="shared" si="688"/>
        <v>0</v>
      </c>
      <c r="BM73" s="46">
        <f t="shared" si="689"/>
        <v>0</v>
      </c>
    </row>
    <row r="74" ht="15.75" customHeight="1">
      <c r="B74" s="26"/>
      <c r="C74" s="101" t="s">
        <v>9</v>
      </c>
      <c r="D74" s="2"/>
      <c r="E74" s="102">
        <f t="shared" ref="E74:H74" si="690">IFERROR(E72/E73,0)</f>
        <v>0</v>
      </c>
      <c r="F74" s="103">
        <f t="shared" si="690"/>
        <v>61.49359489</v>
      </c>
      <c r="G74" s="103">
        <f t="shared" si="690"/>
        <v>2311.626439</v>
      </c>
      <c r="H74" s="104">
        <f t="shared" si="690"/>
        <v>73.25171638</v>
      </c>
      <c r="I74" s="31"/>
      <c r="J74" s="102" t="s">
        <v>7</v>
      </c>
      <c r="K74" s="103">
        <f>IFERROR(K72/K73,0)</f>
        <v>0</v>
      </c>
      <c r="L74" s="104" t="s">
        <v>7</v>
      </c>
      <c r="M74" s="102" t="s">
        <v>7</v>
      </c>
      <c r="N74" s="103">
        <f>IFERROR(N72/N73,0)</f>
        <v>0</v>
      </c>
      <c r="O74" s="104" t="s">
        <v>7</v>
      </c>
      <c r="P74" s="102" t="s">
        <v>7</v>
      </c>
      <c r="Q74" s="103">
        <f>IFERROR(Q72/Q73,0)</f>
        <v>0</v>
      </c>
      <c r="R74" s="104" t="s">
        <v>7</v>
      </c>
      <c r="S74" s="2"/>
      <c r="T74" s="102" t="s">
        <v>7</v>
      </c>
      <c r="U74" s="103">
        <f>IFERROR(U72/U73,0)</f>
        <v>3891.334257</v>
      </c>
      <c r="V74" s="104" t="s">
        <v>7</v>
      </c>
      <c r="W74" s="102" t="s">
        <v>7</v>
      </c>
      <c r="X74" s="103">
        <f>IFERROR(X72/X73,0)</f>
        <v>1421.08143</v>
      </c>
      <c r="Y74" s="104" t="s">
        <v>7</v>
      </c>
      <c r="Z74" s="102">
        <f t="shared" ref="Z74:AA74" si="691">IFERROR(Z72/Z73,0)</f>
        <v>65.51487332</v>
      </c>
      <c r="AA74" s="103">
        <f t="shared" si="691"/>
        <v>1881.283058</v>
      </c>
      <c r="AB74" s="105">
        <f t="shared" si="78"/>
        <v>27.71535825</v>
      </c>
      <c r="AC74" s="102">
        <f t="shared" ref="AC74:AD74" si="692">IFERROR(AC72/AC73,0)</f>
        <v>56.97323557</v>
      </c>
      <c r="AD74" s="103">
        <f t="shared" si="692"/>
        <v>56.380832</v>
      </c>
      <c r="AE74" s="105">
        <f t="shared" si="80"/>
        <v>-0.01039792753</v>
      </c>
      <c r="AF74" s="102">
        <f t="shared" ref="AF74:AG74" si="693">IFERROR(AF72/AF73,0)</f>
        <v>44.21487606</v>
      </c>
      <c r="AG74" s="103">
        <f t="shared" si="693"/>
        <v>44.21487606</v>
      </c>
      <c r="AH74" s="105">
        <f t="shared" si="82"/>
        <v>0</v>
      </c>
      <c r="AI74" s="102">
        <f t="shared" ref="AI74:AJ74" si="694">IFERROR(AI72/AI73,0)</f>
        <v>38.62951781</v>
      </c>
      <c r="AJ74" s="103">
        <f t="shared" si="694"/>
        <v>38.62951781</v>
      </c>
      <c r="AK74" s="105">
        <f t="shared" si="84"/>
        <v>0</v>
      </c>
      <c r="AL74" s="102">
        <f t="shared" ref="AL74:AM74" si="695">IFERROR(AL72/AL73,0)</f>
        <v>38.62951781</v>
      </c>
      <c r="AM74" s="103">
        <f t="shared" si="695"/>
        <v>38.62951781</v>
      </c>
      <c r="AN74" s="105">
        <f t="shared" si="653"/>
        <v>0</v>
      </c>
      <c r="AO74" s="102">
        <f t="shared" ref="AO74:AP74" si="696">IFERROR(AO72/AO73,0)</f>
        <v>26.40599741</v>
      </c>
      <c r="AP74" s="103">
        <f t="shared" si="696"/>
        <v>26.40599741</v>
      </c>
      <c r="AQ74" s="105">
        <f t="shared" si="655"/>
        <v>0</v>
      </c>
      <c r="AR74" s="102">
        <f t="shared" ref="AR74:AS74" si="697">IFERROR(AR72/AR73,0)</f>
        <v>28.52063028</v>
      </c>
      <c r="AS74" s="103">
        <f t="shared" si="697"/>
        <v>28.52063028</v>
      </c>
      <c r="AT74" s="105">
        <f t="shared" si="657"/>
        <v>0</v>
      </c>
      <c r="AU74" s="102">
        <f t="shared" ref="AU74:AV74" si="698">IFERROR(AU72/AU73,0)</f>
        <v>28.52063028</v>
      </c>
      <c r="AV74" s="103">
        <f t="shared" si="698"/>
        <v>28.52063028</v>
      </c>
      <c r="AW74" s="105">
        <f t="shared" si="659"/>
        <v>0</v>
      </c>
      <c r="AX74" s="102">
        <f t="shared" ref="AX74:AY74" si="699">IFERROR(AX72/AX73,0)</f>
        <v>37.51047276</v>
      </c>
      <c r="AY74" s="103">
        <f t="shared" si="699"/>
        <v>37.51047276</v>
      </c>
      <c r="AZ74" s="105">
        <f t="shared" si="661"/>
        <v>0</v>
      </c>
      <c r="BA74" s="102">
        <f t="shared" ref="BA74:BB74" si="700">IFERROR(BA72/BA73,0)</f>
        <v>127.8471177</v>
      </c>
      <c r="BB74" s="103">
        <f t="shared" si="700"/>
        <v>127.8471177</v>
      </c>
      <c r="BC74" s="105">
        <f t="shared" si="663"/>
        <v>0</v>
      </c>
      <c r="BD74" s="31"/>
      <c r="BE74" s="102">
        <f t="shared" ref="BE74:BF74" si="701">IFERROR(BE72/BE73,0)</f>
        <v>2311.626439</v>
      </c>
      <c r="BF74" s="103">
        <f t="shared" si="701"/>
        <v>2311.626439</v>
      </c>
      <c r="BG74" s="105">
        <f t="shared" si="685"/>
        <v>0</v>
      </c>
      <c r="BH74" s="102">
        <f t="shared" ref="BH74:BI74" si="702">IFERROR(BH72/BH73,0)</f>
        <v>2311.626439</v>
      </c>
      <c r="BI74" s="103">
        <f t="shared" si="702"/>
        <v>2311.626439</v>
      </c>
      <c r="BJ74" s="105">
        <f t="shared" si="687"/>
        <v>0</v>
      </c>
      <c r="BK74" s="102">
        <f t="shared" ref="BK74:BL74" si="703">IFERROR(BK72/BK73,0)</f>
        <v>0</v>
      </c>
      <c r="BL74" s="103">
        <f t="shared" si="703"/>
        <v>0</v>
      </c>
      <c r="BM74" s="105">
        <f t="shared" si="689"/>
        <v>0</v>
      </c>
    </row>
    <row r="75" ht="15.75" customHeight="1" outlineLevel="1">
      <c r="A75" s="2"/>
      <c r="B75" s="106" t="s">
        <v>32</v>
      </c>
      <c r="C75" s="107" t="s">
        <v>6</v>
      </c>
      <c r="D75" s="2"/>
      <c r="E75" s="108">
        <f t="shared" ref="E75:E76" si="704">K75+N75+Q75</f>
        <v>139888.08</v>
      </c>
      <c r="F75" s="109">
        <f t="shared" ref="F75:F76" si="705">U75+X75+AA75+AD75+AG75+AJ75+AM75+AP75+AS75+AV75+AY75+BB75</f>
        <v>489608.28</v>
      </c>
      <c r="G75" s="109">
        <f t="shared" ref="G75:G76" si="706">BF75+BI75+BL75</f>
        <v>0</v>
      </c>
      <c r="H75" s="110">
        <f t="shared" ref="H75:H76" si="707">SUM(E75:G75)</f>
        <v>629496.36</v>
      </c>
      <c r="I75" s="16"/>
      <c r="J75" s="108" t="s">
        <v>7</v>
      </c>
      <c r="K75" s="109"/>
      <c r="L75" s="110" t="s">
        <v>7</v>
      </c>
      <c r="M75" s="108" t="s">
        <v>7</v>
      </c>
      <c r="N75" s="109">
        <v>69944.04</v>
      </c>
      <c r="O75" s="110" t="s">
        <v>7</v>
      </c>
      <c r="P75" s="108" t="s">
        <v>7</v>
      </c>
      <c r="Q75" s="109">
        <v>69944.04</v>
      </c>
      <c r="R75" s="110" t="s">
        <v>7</v>
      </c>
      <c r="S75" s="2"/>
      <c r="T75" s="108" t="s">
        <v>7</v>
      </c>
      <c r="U75" s="109">
        <v>69944.04</v>
      </c>
      <c r="V75" s="110" t="s">
        <v>7</v>
      </c>
      <c r="W75" s="108" t="s">
        <v>7</v>
      </c>
      <c r="X75" s="109">
        <v>69944.04</v>
      </c>
      <c r="Y75" s="110" t="s">
        <v>7</v>
      </c>
      <c r="Z75" s="108">
        <v>69944.04</v>
      </c>
      <c r="AA75" s="109">
        <v>69944.04</v>
      </c>
      <c r="AB75" s="111">
        <f t="shared" si="78"/>
        <v>0</v>
      </c>
      <c r="AC75" s="108">
        <v>69944.04</v>
      </c>
      <c r="AD75" s="109">
        <v>69944.04</v>
      </c>
      <c r="AE75" s="111">
        <f t="shared" si="80"/>
        <v>0</v>
      </c>
      <c r="AF75" s="108">
        <v>69944.04</v>
      </c>
      <c r="AG75" s="109">
        <v>69944.04</v>
      </c>
      <c r="AH75" s="111">
        <f t="shared" si="82"/>
        <v>0</v>
      </c>
      <c r="AI75" s="108">
        <v>69944.04</v>
      </c>
      <c r="AJ75" s="109">
        <v>69944.04</v>
      </c>
      <c r="AK75" s="111">
        <f t="shared" si="84"/>
        <v>0</v>
      </c>
      <c r="AL75" s="108">
        <v>69944.04</v>
      </c>
      <c r="AM75" s="109">
        <v>69944.04</v>
      </c>
      <c r="AN75" s="111">
        <f t="shared" si="653"/>
        <v>0</v>
      </c>
      <c r="AO75" s="108"/>
      <c r="AP75" s="109"/>
      <c r="AQ75" s="111">
        <f t="shared" si="655"/>
        <v>0</v>
      </c>
      <c r="AR75" s="108"/>
      <c r="AS75" s="109"/>
      <c r="AT75" s="111">
        <f t="shared" si="657"/>
        <v>0</v>
      </c>
      <c r="AU75" s="108"/>
      <c r="AV75" s="109"/>
      <c r="AW75" s="111">
        <f t="shared" si="659"/>
        <v>0</v>
      </c>
      <c r="AX75" s="108"/>
      <c r="AY75" s="109"/>
      <c r="AZ75" s="111">
        <f t="shared" si="661"/>
        <v>0</v>
      </c>
      <c r="BA75" s="108"/>
      <c r="BB75" s="109"/>
      <c r="BC75" s="111">
        <f t="shared" si="663"/>
        <v>0</v>
      </c>
      <c r="BD75" s="16"/>
      <c r="BE75" s="108"/>
      <c r="BF75" s="109"/>
      <c r="BG75" s="111">
        <f t="shared" si="685"/>
        <v>0</v>
      </c>
      <c r="BH75" s="108"/>
      <c r="BI75" s="109"/>
      <c r="BJ75" s="111">
        <f t="shared" si="687"/>
        <v>0</v>
      </c>
      <c r="BK75" s="108"/>
      <c r="BL75" s="109"/>
      <c r="BM75" s="111">
        <f t="shared" si="689"/>
        <v>0</v>
      </c>
    </row>
    <row r="76" ht="15.75" customHeight="1" outlineLevel="1">
      <c r="A76" s="2"/>
      <c r="B76" s="20"/>
      <c r="C76" s="112" t="s">
        <v>8</v>
      </c>
      <c r="D76" s="2"/>
      <c r="E76" s="113">
        <f t="shared" si="704"/>
        <v>0</v>
      </c>
      <c r="F76" s="114">
        <f t="shared" si="705"/>
        <v>367</v>
      </c>
      <c r="G76" s="114">
        <f t="shared" si="706"/>
        <v>0</v>
      </c>
      <c r="H76" s="115">
        <f t="shared" si="707"/>
        <v>367</v>
      </c>
      <c r="I76" s="16"/>
      <c r="J76" s="113" t="s">
        <v>7</v>
      </c>
      <c r="K76" s="114"/>
      <c r="L76" s="115" t="s">
        <v>7</v>
      </c>
      <c r="M76" s="113" t="s">
        <v>7</v>
      </c>
      <c r="N76" s="116"/>
      <c r="O76" s="115" t="s">
        <v>7</v>
      </c>
      <c r="P76" s="113" t="s">
        <v>7</v>
      </c>
      <c r="Q76" s="114"/>
      <c r="R76" s="115" t="s">
        <v>7</v>
      </c>
      <c r="S76" s="2"/>
      <c r="T76" s="113" t="s">
        <v>7</v>
      </c>
      <c r="U76" s="114"/>
      <c r="V76" s="115" t="s">
        <v>7</v>
      </c>
      <c r="W76" s="113" t="s">
        <v>7</v>
      </c>
      <c r="X76" s="116">
        <v>15.0</v>
      </c>
      <c r="Y76" s="115" t="s">
        <v>7</v>
      </c>
      <c r="Z76" s="117">
        <v>88.0</v>
      </c>
      <c r="AA76" s="118">
        <v>0.0</v>
      </c>
      <c r="AB76" s="119">
        <f t="shared" si="78"/>
        <v>-1</v>
      </c>
      <c r="AC76" s="117">
        <v>88.0</v>
      </c>
      <c r="AD76" s="116">
        <v>88.0</v>
      </c>
      <c r="AE76" s="119">
        <f t="shared" si="80"/>
        <v>0</v>
      </c>
      <c r="AF76" s="117">
        <v>88.0</v>
      </c>
      <c r="AG76" s="116">
        <v>88.0</v>
      </c>
      <c r="AH76" s="119">
        <f t="shared" si="82"/>
        <v>0</v>
      </c>
      <c r="AI76" s="117">
        <v>88.0</v>
      </c>
      <c r="AJ76" s="116">
        <v>88.0</v>
      </c>
      <c r="AK76" s="119">
        <f t="shared" si="84"/>
        <v>0</v>
      </c>
      <c r="AL76" s="117">
        <v>88.0</v>
      </c>
      <c r="AM76" s="116">
        <v>88.0</v>
      </c>
      <c r="AN76" s="119">
        <f t="shared" si="653"/>
        <v>0</v>
      </c>
      <c r="AO76" s="113"/>
      <c r="AP76" s="114"/>
      <c r="AQ76" s="119">
        <f t="shared" si="655"/>
        <v>0</v>
      </c>
      <c r="AR76" s="113"/>
      <c r="AS76" s="114"/>
      <c r="AT76" s="119">
        <f t="shared" si="657"/>
        <v>0</v>
      </c>
      <c r="AU76" s="113"/>
      <c r="AV76" s="114"/>
      <c r="AW76" s="119">
        <f t="shared" si="659"/>
        <v>0</v>
      </c>
      <c r="AX76" s="113"/>
      <c r="AY76" s="114"/>
      <c r="AZ76" s="119">
        <f t="shared" si="661"/>
        <v>0</v>
      </c>
      <c r="BA76" s="113"/>
      <c r="BB76" s="114"/>
      <c r="BC76" s="119">
        <f t="shared" si="663"/>
        <v>0</v>
      </c>
      <c r="BD76" s="16"/>
      <c r="BE76" s="113"/>
      <c r="BF76" s="114"/>
      <c r="BG76" s="119">
        <f t="shared" si="685"/>
        <v>0</v>
      </c>
      <c r="BH76" s="113"/>
      <c r="BI76" s="114"/>
      <c r="BJ76" s="119">
        <f t="shared" si="687"/>
        <v>0</v>
      </c>
      <c r="BK76" s="113"/>
      <c r="BL76" s="114"/>
      <c r="BM76" s="119">
        <f t="shared" si="689"/>
        <v>0</v>
      </c>
    </row>
    <row r="77" ht="15.75" customHeight="1" outlineLevel="1">
      <c r="A77" s="2"/>
      <c r="B77" s="26"/>
      <c r="C77" s="120" t="s">
        <v>9</v>
      </c>
      <c r="D77" s="2"/>
      <c r="E77" s="121">
        <f t="shared" ref="E77:H77" si="708">IFERROR(E75/E76,0)</f>
        <v>0</v>
      </c>
      <c r="F77" s="122">
        <f t="shared" si="708"/>
        <v>1334.082507</v>
      </c>
      <c r="G77" s="122">
        <f t="shared" si="708"/>
        <v>0</v>
      </c>
      <c r="H77" s="123">
        <f t="shared" si="708"/>
        <v>1715.248937</v>
      </c>
      <c r="I77" s="31"/>
      <c r="J77" s="121" t="s">
        <v>7</v>
      </c>
      <c r="K77" s="122">
        <f>IFERROR(K75/K76,0)</f>
        <v>0</v>
      </c>
      <c r="L77" s="123" t="s">
        <v>7</v>
      </c>
      <c r="M77" s="121" t="s">
        <v>7</v>
      </c>
      <c r="N77" s="122">
        <f>IFERROR(N75/N76,0)</f>
        <v>0</v>
      </c>
      <c r="O77" s="123" t="s">
        <v>7</v>
      </c>
      <c r="P77" s="121" t="s">
        <v>7</v>
      </c>
      <c r="Q77" s="122">
        <f>IFERROR(Q75/Q76,0)</f>
        <v>0</v>
      </c>
      <c r="R77" s="123" t="s">
        <v>7</v>
      </c>
      <c r="S77" s="2"/>
      <c r="T77" s="121" t="s">
        <v>7</v>
      </c>
      <c r="U77" s="122">
        <f>IFERROR(U75/U76,0)</f>
        <v>0</v>
      </c>
      <c r="V77" s="123" t="s">
        <v>7</v>
      </c>
      <c r="W77" s="121" t="s">
        <v>7</v>
      </c>
      <c r="X77" s="122">
        <f>IFERROR(X75/X76,0)</f>
        <v>4662.936</v>
      </c>
      <c r="Y77" s="123" t="s">
        <v>7</v>
      </c>
      <c r="Z77" s="121">
        <f t="shared" ref="Z77:AA77" si="709">IFERROR(Z75/Z76,0)</f>
        <v>794.8186364</v>
      </c>
      <c r="AA77" s="122">
        <f t="shared" si="709"/>
        <v>0</v>
      </c>
      <c r="AB77" s="124">
        <f t="shared" si="78"/>
        <v>-1</v>
      </c>
      <c r="AC77" s="121">
        <f t="shared" ref="AC77:AD77" si="710">IFERROR(AC75/AC76,0)</f>
        <v>794.8186364</v>
      </c>
      <c r="AD77" s="122">
        <f t="shared" si="710"/>
        <v>794.8186364</v>
      </c>
      <c r="AE77" s="124">
        <f t="shared" si="80"/>
        <v>0</v>
      </c>
      <c r="AF77" s="121">
        <f t="shared" ref="AF77:AG77" si="711">IFERROR(AF75/AF76,0)</f>
        <v>794.8186364</v>
      </c>
      <c r="AG77" s="122">
        <f t="shared" si="711"/>
        <v>794.8186364</v>
      </c>
      <c r="AH77" s="124">
        <f t="shared" si="82"/>
        <v>0</v>
      </c>
      <c r="AI77" s="121">
        <f t="shared" ref="AI77:AJ77" si="712">IFERROR(AI75/AI76,0)</f>
        <v>794.8186364</v>
      </c>
      <c r="AJ77" s="122">
        <f t="shared" si="712"/>
        <v>794.8186364</v>
      </c>
      <c r="AK77" s="124">
        <f t="shared" si="84"/>
        <v>0</v>
      </c>
      <c r="AL77" s="121">
        <f t="shared" ref="AL77:AM77" si="713">IFERROR(AL75/AL76,0)</f>
        <v>794.8186364</v>
      </c>
      <c r="AM77" s="122">
        <f t="shared" si="713"/>
        <v>794.8186364</v>
      </c>
      <c r="AN77" s="124">
        <f t="shared" si="653"/>
        <v>0</v>
      </c>
      <c r="AO77" s="121">
        <f t="shared" ref="AO77:AP77" si="714">IFERROR(AO75/AO76,0)</f>
        <v>0</v>
      </c>
      <c r="AP77" s="122">
        <f t="shared" si="714"/>
        <v>0</v>
      </c>
      <c r="AQ77" s="124">
        <f t="shared" si="655"/>
        <v>0</v>
      </c>
      <c r="AR77" s="121">
        <f t="shared" ref="AR77:AS77" si="715">IFERROR(AR75/AR76,0)</f>
        <v>0</v>
      </c>
      <c r="AS77" s="122">
        <f t="shared" si="715"/>
        <v>0</v>
      </c>
      <c r="AT77" s="124">
        <f t="shared" si="657"/>
        <v>0</v>
      </c>
      <c r="AU77" s="121">
        <f t="shared" ref="AU77:AV77" si="716">IFERROR(AU75/AU76,0)</f>
        <v>0</v>
      </c>
      <c r="AV77" s="122">
        <f t="shared" si="716"/>
        <v>0</v>
      </c>
      <c r="AW77" s="124">
        <f t="shared" si="659"/>
        <v>0</v>
      </c>
      <c r="AX77" s="121">
        <f t="shared" ref="AX77:AY77" si="717">IFERROR(AX75/AX76,0)</f>
        <v>0</v>
      </c>
      <c r="AY77" s="122">
        <f t="shared" si="717"/>
        <v>0</v>
      </c>
      <c r="AZ77" s="124">
        <f t="shared" si="661"/>
        <v>0</v>
      </c>
      <c r="BA77" s="121">
        <f t="shared" ref="BA77:BB77" si="718">IFERROR(BA75/BA76,0)</f>
        <v>0</v>
      </c>
      <c r="BB77" s="122">
        <f t="shared" si="718"/>
        <v>0</v>
      </c>
      <c r="BC77" s="124">
        <f t="shared" si="663"/>
        <v>0</v>
      </c>
      <c r="BD77" s="31"/>
      <c r="BE77" s="121">
        <f t="shared" ref="BE77:BF77" si="719">IFERROR(BE75/BE76,0)</f>
        <v>0</v>
      </c>
      <c r="BF77" s="122">
        <f t="shared" si="719"/>
        <v>0</v>
      </c>
      <c r="BG77" s="124">
        <f t="shared" si="685"/>
        <v>0</v>
      </c>
      <c r="BH77" s="121">
        <f t="shared" ref="BH77:BI77" si="720">IFERROR(BH75/BH76,0)</f>
        <v>0</v>
      </c>
      <c r="BI77" s="122">
        <f t="shared" si="720"/>
        <v>0</v>
      </c>
      <c r="BJ77" s="124">
        <f t="shared" si="687"/>
        <v>0</v>
      </c>
      <c r="BK77" s="121">
        <f t="shared" ref="BK77:BL77" si="721">IFERROR(BK75/BK76,0)</f>
        <v>0</v>
      </c>
      <c r="BL77" s="122">
        <f t="shared" si="721"/>
        <v>0</v>
      </c>
      <c r="BM77" s="124">
        <f t="shared" si="689"/>
        <v>0</v>
      </c>
    </row>
    <row r="78" ht="15.75" customHeight="1" outlineLevel="1">
      <c r="A78" s="2"/>
      <c r="B78" s="106" t="s">
        <v>33</v>
      </c>
      <c r="C78" s="107" t="s">
        <v>6</v>
      </c>
      <c r="D78" s="2"/>
      <c r="E78" s="108">
        <f t="shared" ref="E78:E79" si="722">K78+N78+Q78</f>
        <v>0</v>
      </c>
      <c r="F78" s="109">
        <f t="shared" ref="F78:F79" si="723">U78+X78+AA78+AD78+AG78+AJ78+AM78+AP78+AS78+AV78+AY78+BB78</f>
        <v>444679.92</v>
      </c>
      <c r="G78" s="109">
        <f t="shared" ref="G78:G79" si="724">BF78+BI78+BL78</f>
        <v>0</v>
      </c>
      <c r="H78" s="110">
        <f t="shared" ref="H78:H79" si="725">SUM(E78:G78)</f>
        <v>444679.92</v>
      </c>
      <c r="I78" s="16"/>
      <c r="J78" s="108" t="s">
        <v>7</v>
      </c>
      <c r="K78" s="109"/>
      <c r="L78" s="110" t="s">
        <v>7</v>
      </c>
      <c r="M78" s="108" t="s">
        <v>7</v>
      </c>
      <c r="N78" s="109"/>
      <c r="O78" s="110" t="s">
        <v>7</v>
      </c>
      <c r="P78" s="108" t="s">
        <v>7</v>
      </c>
      <c r="Q78" s="109"/>
      <c r="R78" s="110" t="s">
        <v>7</v>
      </c>
      <c r="S78" s="2"/>
      <c r="T78" s="108" t="s">
        <v>7</v>
      </c>
      <c r="U78" s="109">
        <v>100378.6</v>
      </c>
      <c r="V78" s="110" t="s">
        <v>7</v>
      </c>
      <c r="W78" s="108" t="s">
        <v>7</v>
      </c>
      <c r="X78" s="109">
        <v>117648.22</v>
      </c>
      <c r="Y78" s="110" t="s">
        <v>7</v>
      </c>
      <c r="Z78" s="125">
        <v>22665.31</v>
      </c>
      <c r="AA78" s="109">
        <v>22665.31</v>
      </c>
      <c r="AB78" s="111">
        <f t="shared" si="78"/>
        <v>0</v>
      </c>
      <c r="AC78" s="108">
        <v>22665.31</v>
      </c>
      <c r="AD78" s="109">
        <v>22665.31</v>
      </c>
      <c r="AE78" s="111">
        <f t="shared" si="80"/>
        <v>0</v>
      </c>
      <c r="AF78" s="108">
        <v>22665.31</v>
      </c>
      <c r="AG78" s="109">
        <v>22665.31</v>
      </c>
      <c r="AH78" s="111">
        <f t="shared" si="82"/>
        <v>0</v>
      </c>
      <c r="AI78" s="108">
        <v>22665.31</v>
      </c>
      <c r="AJ78" s="109">
        <v>22665.31</v>
      </c>
      <c r="AK78" s="111">
        <f t="shared" si="84"/>
        <v>0</v>
      </c>
      <c r="AL78" s="108">
        <v>22665.31</v>
      </c>
      <c r="AM78" s="109">
        <v>22665.31</v>
      </c>
      <c r="AN78" s="111">
        <f t="shared" si="653"/>
        <v>0</v>
      </c>
      <c r="AO78" s="108">
        <v>22665.31</v>
      </c>
      <c r="AP78" s="109">
        <v>22665.31</v>
      </c>
      <c r="AQ78" s="111">
        <f t="shared" si="655"/>
        <v>0</v>
      </c>
      <c r="AR78" s="108">
        <v>22665.31</v>
      </c>
      <c r="AS78" s="109">
        <v>22665.31</v>
      </c>
      <c r="AT78" s="111">
        <f t="shared" si="657"/>
        <v>0</v>
      </c>
      <c r="AU78" s="108">
        <v>22665.31</v>
      </c>
      <c r="AV78" s="109">
        <v>22665.31</v>
      </c>
      <c r="AW78" s="111">
        <f t="shared" si="659"/>
        <v>0</v>
      </c>
      <c r="AX78" s="108">
        <v>22665.31</v>
      </c>
      <c r="AY78" s="109">
        <v>22665.31</v>
      </c>
      <c r="AZ78" s="111">
        <f t="shared" si="661"/>
        <v>0</v>
      </c>
      <c r="BA78" s="108">
        <v>22665.31</v>
      </c>
      <c r="BB78" s="109">
        <v>22665.31</v>
      </c>
      <c r="BC78" s="111">
        <f t="shared" si="663"/>
        <v>0</v>
      </c>
      <c r="BD78" s="16"/>
      <c r="BE78" s="108"/>
      <c r="BF78" s="109"/>
      <c r="BG78" s="111">
        <f t="shared" si="685"/>
        <v>0</v>
      </c>
      <c r="BH78" s="108"/>
      <c r="BI78" s="109"/>
      <c r="BJ78" s="111">
        <f t="shared" si="687"/>
        <v>0</v>
      </c>
      <c r="BK78" s="108"/>
      <c r="BL78" s="109"/>
      <c r="BM78" s="111">
        <f t="shared" si="689"/>
        <v>0</v>
      </c>
    </row>
    <row r="79" ht="15.75" customHeight="1" outlineLevel="1">
      <c r="A79" s="2"/>
      <c r="B79" s="20"/>
      <c r="C79" s="112" t="s">
        <v>8</v>
      </c>
      <c r="D79" s="2"/>
      <c r="E79" s="113">
        <f t="shared" si="722"/>
        <v>0</v>
      </c>
      <c r="F79" s="114">
        <f t="shared" si="723"/>
        <v>1200</v>
      </c>
      <c r="G79" s="114">
        <f t="shared" si="724"/>
        <v>0</v>
      </c>
      <c r="H79" s="115">
        <f t="shared" si="725"/>
        <v>1200</v>
      </c>
      <c r="I79" s="16"/>
      <c r="J79" s="113" t="s">
        <v>7</v>
      </c>
      <c r="K79" s="114"/>
      <c r="L79" s="115" t="s">
        <v>7</v>
      </c>
      <c r="M79" s="113" t="s">
        <v>7</v>
      </c>
      <c r="N79" s="114"/>
      <c r="O79" s="115" t="s">
        <v>7</v>
      </c>
      <c r="P79" s="113" t="s">
        <v>7</v>
      </c>
      <c r="Q79" s="114"/>
      <c r="R79" s="115" t="s">
        <v>7</v>
      </c>
      <c r="S79" s="2"/>
      <c r="T79" s="113" t="s">
        <v>7</v>
      </c>
      <c r="U79" s="114"/>
      <c r="V79" s="115" t="s">
        <v>7</v>
      </c>
      <c r="W79" s="113" t="s">
        <v>7</v>
      </c>
      <c r="X79" s="116">
        <v>30.0</v>
      </c>
      <c r="Y79" s="115" t="s">
        <v>7</v>
      </c>
      <c r="Z79" s="117">
        <v>130.0</v>
      </c>
      <c r="AA79" s="126">
        <v>0.0</v>
      </c>
      <c r="AB79" s="119">
        <f t="shared" si="78"/>
        <v>-1</v>
      </c>
      <c r="AC79" s="117">
        <v>130.0</v>
      </c>
      <c r="AD79" s="117">
        <v>130.0</v>
      </c>
      <c r="AE79" s="119">
        <f t="shared" si="80"/>
        <v>0</v>
      </c>
      <c r="AF79" s="117">
        <v>130.0</v>
      </c>
      <c r="AG79" s="117">
        <v>130.0</v>
      </c>
      <c r="AH79" s="119">
        <f t="shared" si="82"/>
        <v>0</v>
      </c>
      <c r="AI79" s="117">
        <v>130.0</v>
      </c>
      <c r="AJ79" s="117">
        <v>130.0</v>
      </c>
      <c r="AK79" s="119">
        <f t="shared" si="84"/>
        <v>0</v>
      </c>
      <c r="AL79" s="117">
        <v>130.0</v>
      </c>
      <c r="AM79" s="117">
        <v>130.0</v>
      </c>
      <c r="AN79" s="119">
        <f t="shared" si="653"/>
        <v>0</v>
      </c>
      <c r="AO79" s="117">
        <v>130.0</v>
      </c>
      <c r="AP79" s="117">
        <v>130.0</v>
      </c>
      <c r="AQ79" s="119">
        <f t="shared" si="655"/>
        <v>0</v>
      </c>
      <c r="AR79" s="117">
        <v>130.0</v>
      </c>
      <c r="AS79" s="117">
        <v>130.0</v>
      </c>
      <c r="AT79" s="119">
        <f t="shared" si="657"/>
        <v>0</v>
      </c>
      <c r="AU79" s="117">
        <v>130.0</v>
      </c>
      <c r="AV79" s="117">
        <v>130.0</v>
      </c>
      <c r="AW79" s="119">
        <f t="shared" si="659"/>
        <v>0</v>
      </c>
      <c r="AX79" s="117">
        <v>130.0</v>
      </c>
      <c r="AY79" s="117">
        <v>130.0</v>
      </c>
      <c r="AZ79" s="119">
        <f t="shared" si="661"/>
        <v>0</v>
      </c>
      <c r="BA79" s="117">
        <v>130.0</v>
      </c>
      <c r="BB79" s="117">
        <v>130.0</v>
      </c>
      <c r="BC79" s="119">
        <f t="shared" si="663"/>
        <v>0</v>
      </c>
      <c r="BD79" s="16"/>
      <c r="BE79" s="113"/>
      <c r="BF79" s="114"/>
      <c r="BG79" s="119">
        <f t="shared" si="685"/>
        <v>0</v>
      </c>
      <c r="BH79" s="113"/>
      <c r="BI79" s="114"/>
      <c r="BJ79" s="119">
        <f t="shared" si="687"/>
        <v>0</v>
      </c>
      <c r="BK79" s="113"/>
      <c r="BL79" s="114"/>
      <c r="BM79" s="119">
        <f t="shared" si="689"/>
        <v>0</v>
      </c>
    </row>
    <row r="80" ht="15.75" customHeight="1" outlineLevel="1">
      <c r="A80" s="2"/>
      <c r="B80" s="26"/>
      <c r="C80" s="120" t="s">
        <v>9</v>
      </c>
      <c r="D80" s="2"/>
      <c r="E80" s="121">
        <f t="shared" ref="E80:H80" si="726">IFERROR(E78/E79,0)</f>
        <v>0</v>
      </c>
      <c r="F80" s="122">
        <f t="shared" si="726"/>
        <v>370.5666</v>
      </c>
      <c r="G80" s="122">
        <f t="shared" si="726"/>
        <v>0</v>
      </c>
      <c r="H80" s="123">
        <f t="shared" si="726"/>
        <v>370.5666</v>
      </c>
      <c r="I80" s="31"/>
      <c r="J80" s="121" t="s">
        <v>7</v>
      </c>
      <c r="K80" s="122">
        <f>IFERROR(K78/K79,0)</f>
        <v>0</v>
      </c>
      <c r="L80" s="123" t="s">
        <v>7</v>
      </c>
      <c r="M80" s="121" t="s">
        <v>7</v>
      </c>
      <c r="N80" s="122">
        <f>IFERROR(N78/N79,0)</f>
        <v>0</v>
      </c>
      <c r="O80" s="123" t="s">
        <v>7</v>
      </c>
      <c r="P80" s="121" t="s">
        <v>7</v>
      </c>
      <c r="Q80" s="122">
        <f>IFERROR(Q78/Q79,0)</f>
        <v>0</v>
      </c>
      <c r="R80" s="123" t="s">
        <v>7</v>
      </c>
      <c r="S80" s="2"/>
      <c r="T80" s="121" t="s">
        <v>7</v>
      </c>
      <c r="U80" s="122">
        <f>IFERROR(U78/U79,0)</f>
        <v>0</v>
      </c>
      <c r="V80" s="123" t="s">
        <v>7</v>
      </c>
      <c r="W80" s="121" t="s">
        <v>7</v>
      </c>
      <c r="X80" s="122">
        <f>IFERROR(X78/X79,0)</f>
        <v>3921.607333</v>
      </c>
      <c r="Y80" s="123" t="s">
        <v>7</v>
      </c>
      <c r="Z80" s="121">
        <f t="shared" ref="Z80:AA80" si="727">IFERROR(Z78/Z79,0)</f>
        <v>174.3485385</v>
      </c>
      <c r="AA80" s="122">
        <f t="shared" si="727"/>
        <v>0</v>
      </c>
      <c r="AB80" s="124">
        <f t="shared" si="78"/>
        <v>-1</v>
      </c>
      <c r="AC80" s="121">
        <f t="shared" ref="AC80:AD80" si="728">IFERROR(AC78/AC79,0)</f>
        <v>174.3485385</v>
      </c>
      <c r="AD80" s="122">
        <f t="shared" si="728"/>
        <v>174.3485385</v>
      </c>
      <c r="AE80" s="124">
        <f t="shared" si="80"/>
        <v>0</v>
      </c>
      <c r="AF80" s="121">
        <f t="shared" ref="AF80:AG80" si="729">IFERROR(AF78/AF79,0)</f>
        <v>174.3485385</v>
      </c>
      <c r="AG80" s="122">
        <f t="shared" si="729"/>
        <v>174.3485385</v>
      </c>
      <c r="AH80" s="124">
        <f t="shared" si="82"/>
        <v>0</v>
      </c>
      <c r="AI80" s="121">
        <f t="shared" ref="AI80:AJ80" si="730">IFERROR(AI78/AI79,0)</f>
        <v>174.3485385</v>
      </c>
      <c r="AJ80" s="122">
        <f t="shared" si="730"/>
        <v>174.3485385</v>
      </c>
      <c r="AK80" s="124">
        <f t="shared" si="84"/>
        <v>0</v>
      </c>
      <c r="AL80" s="121">
        <f t="shared" ref="AL80:AM80" si="731">IFERROR(AL78/AL79,0)</f>
        <v>174.3485385</v>
      </c>
      <c r="AM80" s="122">
        <f t="shared" si="731"/>
        <v>174.3485385</v>
      </c>
      <c r="AN80" s="124">
        <f t="shared" si="653"/>
        <v>0</v>
      </c>
      <c r="AO80" s="121">
        <f t="shared" ref="AO80:AP80" si="732">IFERROR(AO78/AO79,0)</f>
        <v>174.3485385</v>
      </c>
      <c r="AP80" s="122">
        <f t="shared" si="732"/>
        <v>174.3485385</v>
      </c>
      <c r="AQ80" s="124">
        <f t="shared" si="655"/>
        <v>0</v>
      </c>
      <c r="AR80" s="121">
        <f t="shared" ref="AR80:AS80" si="733">IFERROR(AR78/AR79,0)</f>
        <v>174.3485385</v>
      </c>
      <c r="AS80" s="122">
        <f t="shared" si="733"/>
        <v>174.3485385</v>
      </c>
      <c r="AT80" s="124">
        <f t="shared" si="657"/>
        <v>0</v>
      </c>
      <c r="AU80" s="121">
        <f t="shared" ref="AU80:AV80" si="734">IFERROR(AU78/AU79,0)</f>
        <v>174.3485385</v>
      </c>
      <c r="AV80" s="122">
        <f t="shared" si="734"/>
        <v>174.3485385</v>
      </c>
      <c r="AW80" s="124">
        <f t="shared" si="659"/>
        <v>0</v>
      </c>
      <c r="AX80" s="121">
        <f t="shared" ref="AX80:AY80" si="735">IFERROR(AX78/AX79,0)</f>
        <v>174.3485385</v>
      </c>
      <c r="AY80" s="122">
        <f t="shared" si="735"/>
        <v>174.3485385</v>
      </c>
      <c r="AZ80" s="124">
        <f t="shared" si="661"/>
        <v>0</v>
      </c>
      <c r="BA80" s="121">
        <f t="shared" ref="BA80:BB80" si="736">IFERROR(BA78/BA79,0)</f>
        <v>174.3485385</v>
      </c>
      <c r="BB80" s="122">
        <f t="shared" si="736"/>
        <v>174.3485385</v>
      </c>
      <c r="BC80" s="124">
        <f t="shared" si="663"/>
        <v>0</v>
      </c>
      <c r="BD80" s="31"/>
      <c r="BE80" s="121">
        <f t="shared" ref="BE80:BF80" si="737">IFERROR(BE78/BE79,0)</f>
        <v>0</v>
      </c>
      <c r="BF80" s="122">
        <f t="shared" si="737"/>
        <v>0</v>
      </c>
      <c r="BG80" s="124">
        <f t="shared" si="685"/>
        <v>0</v>
      </c>
      <c r="BH80" s="121">
        <f t="shared" ref="BH80:BI80" si="738">IFERROR(BH78/BH79,0)</f>
        <v>0</v>
      </c>
      <c r="BI80" s="122">
        <f t="shared" si="738"/>
        <v>0</v>
      </c>
      <c r="BJ80" s="124">
        <f t="shared" si="687"/>
        <v>0</v>
      </c>
      <c r="BK80" s="121">
        <f t="shared" ref="BK80:BL80" si="739">IFERROR(BK78/BK79,0)</f>
        <v>0</v>
      </c>
      <c r="BL80" s="122">
        <f t="shared" si="739"/>
        <v>0</v>
      </c>
      <c r="BM80" s="124">
        <f t="shared" si="689"/>
        <v>0</v>
      </c>
    </row>
    <row r="81" ht="15.75" customHeight="1" outlineLevel="1">
      <c r="A81" s="2"/>
      <c r="B81" s="106" t="s">
        <v>34</v>
      </c>
      <c r="C81" s="107" t="s">
        <v>6</v>
      </c>
      <c r="D81" s="2"/>
      <c r="E81" s="108">
        <f t="shared" ref="E81:E82" si="740">K81+N81+Q81</f>
        <v>96043.17</v>
      </c>
      <c r="F81" s="109">
        <f t="shared" ref="F81:F82" si="741">U81+X81+AA81+AD81+AG81+AJ81+AM81+AP81+AS81+AV81+AY81+BB81</f>
        <v>0</v>
      </c>
      <c r="G81" s="109">
        <f t="shared" ref="G81:G82" si="742">BF81+BI81+BL81</f>
        <v>0</v>
      </c>
      <c r="H81" s="110">
        <f t="shared" ref="H81:H82" si="743">SUM(E81:G81)</f>
        <v>96043.17</v>
      </c>
      <c r="I81" s="16"/>
      <c r="J81" s="108" t="s">
        <v>7</v>
      </c>
      <c r="K81" s="109"/>
      <c r="L81" s="110" t="s">
        <v>7</v>
      </c>
      <c r="M81" s="108" t="s">
        <v>7</v>
      </c>
      <c r="N81" s="109">
        <v>51079.14</v>
      </c>
      <c r="O81" s="110" t="s">
        <v>7</v>
      </c>
      <c r="P81" s="108" t="s">
        <v>7</v>
      </c>
      <c r="Q81" s="109">
        <v>44964.03</v>
      </c>
      <c r="R81" s="110" t="s">
        <v>7</v>
      </c>
      <c r="S81" s="2"/>
      <c r="T81" s="108" t="s">
        <v>7</v>
      </c>
      <c r="U81" s="109"/>
      <c r="V81" s="110" t="s">
        <v>7</v>
      </c>
      <c r="W81" s="108" t="s">
        <v>7</v>
      </c>
      <c r="X81" s="109"/>
      <c r="Y81" s="110" t="s">
        <v>7</v>
      </c>
      <c r="Z81" s="108"/>
      <c r="AA81" s="109"/>
      <c r="AB81" s="111">
        <f t="shared" si="78"/>
        <v>0</v>
      </c>
      <c r="AC81" s="108"/>
      <c r="AD81" s="109"/>
      <c r="AE81" s="111">
        <f t="shared" si="80"/>
        <v>0</v>
      </c>
      <c r="AF81" s="108"/>
      <c r="AG81" s="109"/>
      <c r="AH81" s="111">
        <f t="shared" si="82"/>
        <v>0</v>
      </c>
      <c r="AI81" s="108"/>
      <c r="AJ81" s="109"/>
      <c r="AK81" s="111">
        <f t="shared" si="84"/>
        <v>0</v>
      </c>
      <c r="AL81" s="108"/>
      <c r="AM81" s="109"/>
      <c r="AN81" s="111">
        <f t="shared" si="653"/>
        <v>0</v>
      </c>
      <c r="AO81" s="108"/>
      <c r="AP81" s="109"/>
      <c r="AQ81" s="111">
        <f t="shared" si="655"/>
        <v>0</v>
      </c>
      <c r="AR81" s="108"/>
      <c r="AS81" s="109"/>
      <c r="AT81" s="111">
        <f t="shared" si="657"/>
        <v>0</v>
      </c>
      <c r="AU81" s="108"/>
      <c r="AV81" s="109"/>
      <c r="AW81" s="111">
        <f t="shared" si="659"/>
        <v>0</v>
      </c>
      <c r="AX81" s="108"/>
      <c r="AY81" s="109"/>
      <c r="AZ81" s="111">
        <f t="shared" si="661"/>
        <v>0</v>
      </c>
      <c r="BA81" s="108"/>
      <c r="BB81" s="109"/>
      <c r="BC81" s="111">
        <f t="shared" si="663"/>
        <v>0</v>
      </c>
      <c r="BD81" s="16"/>
      <c r="BE81" s="108"/>
      <c r="BF81" s="109"/>
      <c r="BG81" s="111">
        <f t="shared" si="685"/>
        <v>0</v>
      </c>
      <c r="BH81" s="108"/>
      <c r="BI81" s="109"/>
      <c r="BJ81" s="111">
        <f t="shared" si="687"/>
        <v>0</v>
      </c>
      <c r="BK81" s="108"/>
      <c r="BL81" s="109"/>
      <c r="BM81" s="111">
        <f t="shared" si="689"/>
        <v>0</v>
      </c>
    </row>
    <row r="82" ht="15.0" customHeight="1" outlineLevel="1">
      <c r="A82" s="2"/>
      <c r="B82" s="20"/>
      <c r="C82" s="112" t="s">
        <v>8</v>
      </c>
      <c r="D82" s="2"/>
      <c r="E82" s="113">
        <f t="shared" si="740"/>
        <v>0</v>
      </c>
      <c r="F82" s="114">
        <f t="shared" si="741"/>
        <v>0</v>
      </c>
      <c r="G82" s="114">
        <f t="shared" si="742"/>
        <v>0</v>
      </c>
      <c r="H82" s="115">
        <f t="shared" si="743"/>
        <v>0</v>
      </c>
      <c r="I82" s="16"/>
      <c r="J82" s="113" t="s">
        <v>7</v>
      </c>
      <c r="K82" s="114"/>
      <c r="L82" s="115" t="s">
        <v>7</v>
      </c>
      <c r="M82" s="113" t="s">
        <v>7</v>
      </c>
      <c r="N82" s="114"/>
      <c r="O82" s="115" t="s">
        <v>7</v>
      </c>
      <c r="P82" s="113" t="s">
        <v>7</v>
      </c>
      <c r="Q82" s="114"/>
      <c r="R82" s="115" t="s">
        <v>7</v>
      </c>
      <c r="S82" s="2"/>
      <c r="T82" s="113" t="s">
        <v>7</v>
      </c>
      <c r="U82" s="114"/>
      <c r="V82" s="115" t="s">
        <v>7</v>
      </c>
      <c r="W82" s="113" t="s">
        <v>7</v>
      </c>
      <c r="X82" s="114"/>
      <c r="Y82" s="115" t="s">
        <v>7</v>
      </c>
      <c r="Z82" s="113"/>
      <c r="AA82" s="114"/>
      <c r="AB82" s="119">
        <f t="shared" si="78"/>
        <v>0</v>
      </c>
      <c r="AC82" s="113"/>
      <c r="AD82" s="114"/>
      <c r="AE82" s="119">
        <f t="shared" si="80"/>
        <v>0</v>
      </c>
      <c r="AF82" s="113"/>
      <c r="AG82" s="114"/>
      <c r="AH82" s="119">
        <f t="shared" si="82"/>
        <v>0</v>
      </c>
      <c r="AI82" s="113"/>
      <c r="AJ82" s="114"/>
      <c r="AK82" s="119">
        <f t="shared" si="84"/>
        <v>0</v>
      </c>
      <c r="AL82" s="113"/>
      <c r="AM82" s="114"/>
      <c r="AN82" s="119">
        <f t="shared" si="653"/>
        <v>0</v>
      </c>
      <c r="AO82" s="113"/>
      <c r="AP82" s="114"/>
      <c r="AQ82" s="119">
        <f t="shared" si="655"/>
        <v>0</v>
      </c>
      <c r="AR82" s="113"/>
      <c r="AS82" s="114"/>
      <c r="AT82" s="119">
        <f t="shared" si="657"/>
        <v>0</v>
      </c>
      <c r="AU82" s="113"/>
      <c r="AV82" s="114"/>
      <c r="AW82" s="119">
        <f t="shared" si="659"/>
        <v>0</v>
      </c>
      <c r="AX82" s="113"/>
      <c r="AY82" s="114"/>
      <c r="AZ82" s="119">
        <f t="shared" si="661"/>
        <v>0</v>
      </c>
      <c r="BA82" s="113"/>
      <c r="BB82" s="114"/>
      <c r="BC82" s="119">
        <f t="shared" si="663"/>
        <v>0</v>
      </c>
      <c r="BD82" s="16"/>
      <c r="BE82" s="113"/>
      <c r="BF82" s="114"/>
      <c r="BG82" s="119">
        <f t="shared" si="685"/>
        <v>0</v>
      </c>
      <c r="BH82" s="113"/>
      <c r="BI82" s="114"/>
      <c r="BJ82" s="119">
        <f t="shared" si="687"/>
        <v>0</v>
      </c>
      <c r="BK82" s="113"/>
      <c r="BL82" s="114"/>
      <c r="BM82" s="119">
        <f t="shared" si="689"/>
        <v>0</v>
      </c>
    </row>
    <row r="83" ht="15.75" customHeight="1" outlineLevel="1">
      <c r="A83" s="2"/>
      <c r="B83" s="26"/>
      <c r="C83" s="120" t="s">
        <v>9</v>
      </c>
      <c r="D83" s="2"/>
      <c r="E83" s="121">
        <f t="shared" ref="E83:H83" si="744">IFERROR(E81/E82,0)</f>
        <v>0</v>
      </c>
      <c r="F83" s="122">
        <f t="shared" si="744"/>
        <v>0</v>
      </c>
      <c r="G83" s="122">
        <f t="shared" si="744"/>
        <v>0</v>
      </c>
      <c r="H83" s="123">
        <f t="shared" si="744"/>
        <v>0</v>
      </c>
      <c r="I83" s="31"/>
      <c r="J83" s="121" t="s">
        <v>7</v>
      </c>
      <c r="K83" s="122">
        <f>IFERROR(K81/K82,0)</f>
        <v>0</v>
      </c>
      <c r="L83" s="123" t="s">
        <v>7</v>
      </c>
      <c r="M83" s="121" t="s">
        <v>7</v>
      </c>
      <c r="N83" s="122">
        <f>IFERROR(N81/N82,0)</f>
        <v>0</v>
      </c>
      <c r="O83" s="123" t="s">
        <v>7</v>
      </c>
      <c r="P83" s="121" t="s">
        <v>7</v>
      </c>
      <c r="Q83" s="122">
        <f>IFERROR(Q81/Q82,0)</f>
        <v>0</v>
      </c>
      <c r="R83" s="123" t="s">
        <v>7</v>
      </c>
      <c r="S83" s="2"/>
      <c r="T83" s="121" t="s">
        <v>7</v>
      </c>
      <c r="U83" s="122">
        <f>IFERROR(U81/U82,0)</f>
        <v>0</v>
      </c>
      <c r="V83" s="123" t="s">
        <v>7</v>
      </c>
      <c r="W83" s="121" t="s">
        <v>7</v>
      </c>
      <c r="X83" s="122">
        <f>IFERROR(X81/X82,0)</f>
        <v>0</v>
      </c>
      <c r="Y83" s="123" t="s">
        <v>7</v>
      </c>
      <c r="Z83" s="121">
        <f t="shared" ref="Z83:AA83" si="745">IFERROR(Z81/Z82,0)</f>
        <v>0</v>
      </c>
      <c r="AA83" s="121">
        <f t="shared" si="745"/>
        <v>0</v>
      </c>
      <c r="AB83" s="124">
        <f t="shared" si="78"/>
        <v>0</v>
      </c>
      <c r="AC83" s="121">
        <f t="shared" ref="AC83:AD83" si="746">IFERROR(AC81/AC82,0)</f>
        <v>0</v>
      </c>
      <c r="AD83" s="122">
        <f t="shared" si="746"/>
        <v>0</v>
      </c>
      <c r="AE83" s="124">
        <f t="shared" si="80"/>
        <v>0</v>
      </c>
      <c r="AF83" s="121">
        <f t="shared" ref="AF83:AG83" si="747">IFERROR(AF81/AF82,0)</f>
        <v>0</v>
      </c>
      <c r="AG83" s="122">
        <f t="shared" si="747"/>
        <v>0</v>
      </c>
      <c r="AH83" s="124">
        <f t="shared" si="82"/>
        <v>0</v>
      </c>
      <c r="AI83" s="121">
        <f t="shared" ref="AI83:AJ83" si="748">IFERROR(AI81/AI82,0)</f>
        <v>0</v>
      </c>
      <c r="AJ83" s="122">
        <f t="shared" si="748"/>
        <v>0</v>
      </c>
      <c r="AK83" s="124">
        <f t="shared" si="84"/>
        <v>0</v>
      </c>
      <c r="AL83" s="121">
        <f t="shared" ref="AL83:AM83" si="749">IFERROR(AL81/AL82,0)</f>
        <v>0</v>
      </c>
      <c r="AM83" s="122">
        <f t="shared" si="749"/>
        <v>0</v>
      </c>
      <c r="AN83" s="124">
        <f t="shared" si="653"/>
        <v>0</v>
      </c>
      <c r="AO83" s="121">
        <f t="shared" ref="AO83:AP83" si="750">IFERROR(AO81/AO82,0)</f>
        <v>0</v>
      </c>
      <c r="AP83" s="122">
        <f t="shared" si="750"/>
        <v>0</v>
      </c>
      <c r="AQ83" s="124">
        <f t="shared" si="655"/>
        <v>0</v>
      </c>
      <c r="AR83" s="121">
        <f t="shared" ref="AR83:AS83" si="751">IFERROR(AR81/AR82,0)</f>
        <v>0</v>
      </c>
      <c r="AS83" s="122">
        <f t="shared" si="751"/>
        <v>0</v>
      </c>
      <c r="AT83" s="124">
        <f t="shared" si="657"/>
        <v>0</v>
      </c>
      <c r="AU83" s="121">
        <f t="shared" ref="AU83:AV83" si="752">IFERROR(AU81/AU82,0)</f>
        <v>0</v>
      </c>
      <c r="AV83" s="122">
        <f t="shared" si="752"/>
        <v>0</v>
      </c>
      <c r="AW83" s="124">
        <f t="shared" si="659"/>
        <v>0</v>
      </c>
      <c r="AX83" s="121">
        <f t="shared" ref="AX83:AY83" si="753">IFERROR(AX81/AX82,0)</f>
        <v>0</v>
      </c>
      <c r="AY83" s="122">
        <f t="shared" si="753"/>
        <v>0</v>
      </c>
      <c r="AZ83" s="124">
        <f t="shared" si="661"/>
        <v>0</v>
      </c>
      <c r="BA83" s="121">
        <f t="shared" ref="BA83:BB83" si="754">IFERROR(BA81/BA82,0)</f>
        <v>0</v>
      </c>
      <c r="BB83" s="122">
        <f t="shared" si="754"/>
        <v>0</v>
      </c>
      <c r="BC83" s="124">
        <f t="shared" si="663"/>
        <v>0</v>
      </c>
      <c r="BD83" s="31"/>
      <c r="BE83" s="121">
        <f t="shared" ref="BE83:BF83" si="755">IFERROR(BE81/BE82,0)</f>
        <v>0</v>
      </c>
      <c r="BF83" s="122">
        <f t="shared" si="755"/>
        <v>0</v>
      </c>
      <c r="BG83" s="124">
        <f t="shared" si="685"/>
        <v>0</v>
      </c>
      <c r="BH83" s="121">
        <f t="shared" ref="BH83:BI83" si="756">IFERROR(BH81/BH82,0)</f>
        <v>0</v>
      </c>
      <c r="BI83" s="122">
        <f t="shared" si="756"/>
        <v>0</v>
      </c>
      <c r="BJ83" s="124">
        <f t="shared" si="687"/>
        <v>0</v>
      </c>
      <c r="BK83" s="121">
        <f t="shared" ref="BK83:BL83" si="757">IFERROR(BK81/BK82,0)</f>
        <v>0</v>
      </c>
      <c r="BL83" s="122">
        <f t="shared" si="757"/>
        <v>0</v>
      </c>
      <c r="BM83" s="124">
        <f t="shared" si="689"/>
        <v>0</v>
      </c>
    </row>
    <row r="84" ht="15.75" customHeight="1" outlineLevel="1">
      <c r="A84" s="2"/>
      <c r="B84" s="106" t="s">
        <v>35</v>
      </c>
      <c r="C84" s="107" t="s">
        <v>6</v>
      </c>
      <c r="D84" s="2"/>
      <c r="E84" s="108">
        <f t="shared" ref="E84:E85" si="758">K84+N84+Q84</f>
        <v>44964.03</v>
      </c>
      <c r="F84" s="109">
        <f t="shared" ref="F84:F85" si="759">U84+X84+AA84+AD84+AG84+AJ84+AM84+AP84+AS84+AV84+AY84+BB84</f>
        <v>605612.14</v>
      </c>
      <c r="G84" s="109">
        <f t="shared" ref="G84:G85" si="760">BF84+BI84+BL84</f>
        <v>0</v>
      </c>
      <c r="H84" s="110">
        <f t="shared" ref="H84:H85" si="761">SUM(E84:G84)</f>
        <v>650576.17</v>
      </c>
      <c r="I84" s="16"/>
      <c r="J84" s="108" t="s">
        <v>7</v>
      </c>
      <c r="K84" s="109"/>
      <c r="L84" s="110" t="s">
        <v>7</v>
      </c>
      <c r="M84" s="108" t="s">
        <v>7</v>
      </c>
      <c r="N84" s="109"/>
      <c r="O84" s="110" t="s">
        <v>7</v>
      </c>
      <c r="P84" s="108" t="s">
        <v>7</v>
      </c>
      <c r="Q84" s="109">
        <v>44964.03</v>
      </c>
      <c r="R84" s="110" t="s">
        <v>7</v>
      </c>
      <c r="S84" s="2"/>
      <c r="T84" s="108" t="s">
        <v>7</v>
      </c>
      <c r="U84" s="109">
        <v>44964.03</v>
      </c>
      <c r="V84" s="110" t="s">
        <v>7</v>
      </c>
      <c r="W84" s="108" t="s">
        <v>7</v>
      </c>
      <c r="X84" s="109">
        <v>44964.03</v>
      </c>
      <c r="Y84" s="110" t="s">
        <v>7</v>
      </c>
      <c r="Z84" s="108">
        <v>50359.71</v>
      </c>
      <c r="AA84" s="109">
        <v>50359.71</v>
      </c>
      <c r="AB84" s="111">
        <f t="shared" si="78"/>
        <v>0</v>
      </c>
      <c r="AC84" s="108">
        <v>52158.27</v>
      </c>
      <c r="AD84" s="109">
        <v>52158.27</v>
      </c>
      <c r="AE84" s="111">
        <f t="shared" si="80"/>
        <v>0</v>
      </c>
      <c r="AF84" s="108">
        <v>52158.27</v>
      </c>
      <c r="AG84" s="109">
        <v>52158.27</v>
      </c>
      <c r="AH84" s="111">
        <f t="shared" si="82"/>
        <v>0</v>
      </c>
      <c r="AI84" s="108">
        <v>52158.27</v>
      </c>
      <c r="AJ84" s="109">
        <v>52158.27</v>
      </c>
      <c r="AK84" s="111">
        <f t="shared" si="84"/>
        <v>0</v>
      </c>
      <c r="AL84" s="108">
        <v>52158.27</v>
      </c>
      <c r="AM84" s="109">
        <v>52158.27</v>
      </c>
      <c r="AN84" s="111">
        <f t="shared" si="653"/>
        <v>0</v>
      </c>
      <c r="AO84" s="108">
        <v>52158.27</v>
      </c>
      <c r="AP84" s="109">
        <v>52158.27</v>
      </c>
      <c r="AQ84" s="111">
        <f t="shared" si="655"/>
        <v>0</v>
      </c>
      <c r="AR84" s="108">
        <v>52158.27</v>
      </c>
      <c r="AS84" s="109">
        <v>52158.27</v>
      </c>
      <c r="AT84" s="111">
        <f t="shared" si="657"/>
        <v>0</v>
      </c>
      <c r="AU84" s="108">
        <v>52158.27</v>
      </c>
      <c r="AV84" s="109">
        <v>52158.27</v>
      </c>
      <c r="AW84" s="111">
        <f t="shared" si="659"/>
        <v>0</v>
      </c>
      <c r="AX84" s="108">
        <v>52158.27</v>
      </c>
      <c r="AY84" s="109">
        <v>52158.27</v>
      </c>
      <c r="AZ84" s="111">
        <f t="shared" si="661"/>
        <v>0</v>
      </c>
      <c r="BA84" s="108">
        <v>48058.21</v>
      </c>
      <c r="BB84" s="109">
        <v>48058.21</v>
      </c>
      <c r="BC84" s="111">
        <f t="shared" si="663"/>
        <v>0</v>
      </c>
      <c r="BD84" s="16"/>
      <c r="BE84" s="108"/>
      <c r="BF84" s="109"/>
      <c r="BG84" s="111">
        <f t="shared" si="685"/>
        <v>0</v>
      </c>
      <c r="BH84" s="108"/>
      <c r="BI84" s="109"/>
      <c r="BJ84" s="111">
        <f t="shared" si="687"/>
        <v>0</v>
      </c>
      <c r="BK84" s="108"/>
      <c r="BL84" s="109"/>
      <c r="BM84" s="111">
        <f t="shared" si="689"/>
        <v>0</v>
      </c>
    </row>
    <row r="85" ht="15.75" customHeight="1" outlineLevel="1">
      <c r="A85" s="2"/>
      <c r="B85" s="20"/>
      <c r="C85" s="112" t="s">
        <v>8</v>
      </c>
      <c r="D85" s="2"/>
      <c r="E85" s="113">
        <f t="shared" si="758"/>
        <v>0</v>
      </c>
      <c r="F85" s="114">
        <f t="shared" si="759"/>
        <v>28041</v>
      </c>
      <c r="G85" s="114">
        <f t="shared" si="760"/>
        <v>0</v>
      </c>
      <c r="H85" s="115">
        <f t="shared" si="761"/>
        <v>28041</v>
      </c>
      <c r="I85" s="16"/>
      <c r="J85" s="113" t="s">
        <v>7</v>
      </c>
      <c r="K85" s="114"/>
      <c r="L85" s="115" t="s">
        <v>7</v>
      </c>
      <c r="M85" s="113" t="s">
        <v>7</v>
      </c>
      <c r="N85" s="114"/>
      <c r="O85" s="115" t="s">
        <v>7</v>
      </c>
      <c r="P85" s="113" t="s">
        <v>7</v>
      </c>
      <c r="Q85" s="114"/>
      <c r="R85" s="115" t="s">
        <v>7</v>
      </c>
      <c r="S85" s="2"/>
      <c r="T85" s="113" t="s">
        <v>7</v>
      </c>
      <c r="U85" s="114">
        <v>62.0</v>
      </c>
      <c r="V85" s="115" t="s">
        <v>7</v>
      </c>
      <c r="W85" s="113" t="s">
        <v>7</v>
      </c>
      <c r="X85" s="116">
        <v>124.0</v>
      </c>
      <c r="Y85" s="115" t="s">
        <v>7</v>
      </c>
      <c r="Z85" s="113">
        <v>2333.0</v>
      </c>
      <c r="AA85" s="116">
        <v>83.0</v>
      </c>
      <c r="AB85" s="119">
        <f t="shared" si="78"/>
        <v>-0.9644234891</v>
      </c>
      <c r="AC85" s="113">
        <v>2745.0</v>
      </c>
      <c r="AD85" s="114">
        <v>2745.0</v>
      </c>
      <c r="AE85" s="119">
        <f t="shared" si="80"/>
        <v>0</v>
      </c>
      <c r="AF85" s="117">
        <v>3569.0</v>
      </c>
      <c r="AG85" s="114">
        <v>3569.0</v>
      </c>
      <c r="AH85" s="119">
        <f t="shared" si="82"/>
        <v>0</v>
      </c>
      <c r="AI85" s="113">
        <v>4118.0</v>
      </c>
      <c r="AJ85" s="114">
        <v>4118.0</v>
      </c>
      <c r="AK85" s="119">
        <f t="shared" si="84"/>
        <v>0</v>
      </c>
      <c r="AL85" s="113">
        <v>4118.0</v>
      </c>
      <c r="AM85" s="114">
        <v>4118.0</v>
      </c>
      <c r="AN85" s="119">
        <f t="shared" si="653"/>
        <v>0</v>
      </c>
      <c r="AO85" s="113">
        <v>3569.0</v>
      </c>
      <c r="AP85" s="114">
        <v>3569.0</v>
      </c>
      <c r="AQ85" s="119">
        <f t="shared" si="655"/>
        <v>0</v>
      </c>
      <c r="AR85" s="113">
        <v>3294.0</v>
      </c>
      <c r="AS85" s="114">
        <v>3294.0</v>
      </c>
      <c r="AT85" s="119">
        <f t="shared" si="657"/>
        <v>0</v>
      </c>
      <c r="AU85" s="113">
        <v>3294.0</v>
      </c>
      <c r="AV85" s="114">
        <v>3294.0</v>
      </c>
      <c r="AW85" s="119">
        <f t="shared" si="659"/>
        <v>0</v>
      </c>
      <c r="AX85" s="113">
        <v>2471.0</v>
      </c>
      <c r="AY85" s="114">
        <v>2471.0</v>
      </c>
      <c r="AZ85" s="119">
        <f t="shared" si="661"/>
        <v>0</v>
      </c>
      <c r="BA85" s="113">
        <v>594.0</v>
      </c>
      <c r="BB85" s="114">
        <v>594.0</v>
      </c>
      <c r="BC85" s="119">
        <f t="shared" si="663"/>
        <v>0</v>
      </c>
      <c r="BD85" s="16"/>
      <c r="BE85" s="113"/>
      <c r="BF85" s="114"/>
      <c r="BG85" s="119">
        <f t="shared" si="685"/>
        <v>0</v>
      </c>
      <c r="BH85" s="113"/>
      <c r="BI85" s="114"/>
      <c r="BJ85" s="119">
        <f t="shared" si="687"/>
        <v>0</v>
      </c>
      <c r="BK85" s="113"/>
      <c r="BL85" s="114"/>
      <c r="BM85" s="119">
        <f t="shared" si="689"/>
        <v>0</v>
      </c>
    </row>
    <row r="86" ht="15.75" customHeight="1" outlineLevel="1">
      <c r="A86" s="2"/>
      <c r="B86" s="26"/>
      <c r="C86" s="120" t="s">
        <v>9</v>
      </c>
      <c r="D86" s="2"/>
      <c r="E86" s="121">
        <f t="shared" ref="E86:H86" si="762">IFERROR(E84/E85,0)</f>
        <v>0</v>
      </c>
      <c r="F86" s="122">
        <f t="shared" si="762"/>
        <v>21.59738026</v>
      </c>
      <c r="G86" s="122">
        <f t="shared" si="762"/>
        <v>0</v>
      </c>
      <c r="H86" s="123">
        <f t="shared" si="762"/>
        <v>23.20089048</v>
      </c>
      <c r="I86" s="31"/>
      <c r="J86" s="121" t="s">
        <v>7</v>
      </c>
      <c r="K86" s="122">
        <f>IFERROR(K84/K85,0)</f>
        <v>0</v>
      </c>
      <c r="L86" s="123" t="s">
        <v>7</v>
      </c>
      <c r="M86" s="121" t="s">
        <v>7</v>
      </c>
      <c r="N86" s="122">
        <f>IFERROR(N84/N85,0)</f>
        <v>0</v>
      </c>
      <c r="O86" s="123" t="s">
        <v>7</v>
      </c>
      <c r="P86" s="121" t="s">
        <v>7</v>
      </c>
      <c r="Q86" s="122">
        <f>IFERROR(Q84/Q85,0)</f>
        <v>0</v>
      </c>
      <c r="R86" s="123" t="s">
        <v>7</v>
      </c>
      <c r="S86" s="2"/>
      <c r="T86" s="121" t="s">
        <v>7</v>
      </c>
      <c r="U86" s="122">
        <f>IFERROR(U84/U85,0)</f>
        <v>725.2262903</v>
      </c>
      <c r="V86" s="123" t="s">
        <v>7</v>
      </c>
      <c r="W86" s="121" t="s">
        <v>7</v>
      </c>
      <c r="X86" s="122">
        <f>IFERROR(X84/X85,0)</f>
        <v>362.6131452</v>
      </c>
      <c r="Y86" s="123" t="s">
        <v>7</v>
      </c>
      <c r="Z86" s="121">
        <f t="shared" ref="Z86:AA86" si="763">IFERROR(Z84/Z85,0)</f>
        <v>21.58581655</v>
      </c>
      <c r="AA86" s="122">
        <f t="shared" si="763"/>
        <v>606.743494</v>
      </c>
      <c r="AB86" s="124">
        <f t="shared" si="78"/>
        <v>27.10843373</v>
      </c>
      <c r="AC86" s="121">
        <f t="shared" ref="AC86:AD86" si="764">IFERROR(AC84/AC85,0)</f>
        <v>19.00119126</v>
      </c>
      <c r="AD86" s="122">
        <f t="shared" si="764"/>
        <v>19.00119126</v>
      </c>
      <c r="AE86" s="124">
        <f t="shared" si="80"/>
        <v>0</v>
      </c>
      <c r="AF86" s="121">
        <f t="shared" ref="AF86:AG86" si="765">IFERROR(AF84/AF85,0)</f>
        <v>14.61425329</v>
      </c>
      <c r="AG86" s="122">
        <f t="shared" si="765"/>
        <v>14.61425329</v>
      </c>
      <c r="AH86" s="124">
        <f t="shared" si="82"/>
        <v>0</v>
      </c>
      <c r="AI86" s="121">
        <f t="shared" ref="AI86:AJ86" si="766">IFERROR(AI84/AI85,0)</f>
        <v>12.66592278</v>
      </c>
      <c r="AJ86" s="122">
        <f t="shared" si="766"/>
        <v>12.66592278</v>
      </c>
      <c r="AK86" s="124">
        <f t="shared" si="84"/>
        <v>0</v>
      </c>
      <c r="AL86" s="121">
        <f t="shared" ref="AL86:AM86" si="767">IFERROR(AL84/AL85,0)</f>
        <v>12.66592278</v>
      </c>
      <c r="AM86" s="122">
        <f t="shared" si="767"/>
        <v>12.66592278</v>
      </c>
      <c r="AN86" s="124">
        <f t="shared" si="653"/>
        <v>0</v>
      </c>
      <c r="AO86" s="121">
        <f t="shared" ref="AO86:AP86" si="768">IFERROR(AO84/AO85,0)</f>
        <v>14.61425329</v>
      </c>
      <c r="AP86" s="122">
        <f t="shared" si="768"/>
        <v>14.61425329</v>
      </c>
      <c r="AQ86" s="124">
        <f t="shared" si="655"/>
        <v>0</v>
      </c>
      <c r="AR86" s="121">
        <f t="shared" ref="AR86:AS86" si="769">IFERROR(AR84/AR85,0)</f>
        <v>15.83432605</v>
      </c>
      <c r="AS86" s="122">
        <f t="shared" si="769"/>
        <v>15.83432605</v>
      </c>
      <c r="AT86" s="124">
        <f t="shared" si="657"/>
        <v>0</v>
      </c>
      <c r="AU86" s="121">
        <f t="shared" ref="AU86:AV86" si="770">IFERROR(AU84/AU85,0)</f>
        <v>15.83432605</v>
      </c>
      <c r="AV86" s="122">
        <f t="shared" si="770"/>
        <v>15.83432605</v>
      </c>
      <c r="AW86" s="124">
        <f t="shared" si="659"/>
        <v>0</v>
      </c>
      <c r="AX86" s="121">
        <f t="shared" ref="AX86:AY86" si="771">IFERROR(AX84/AX85,0)</f>
        <v>21.10816269</v>
      </c>
      <c r="AY86" s="122">
        <f t="shared" si="771"/>
        <v>21.10816269</v>
      </c>
      <c r="AZ86" s="124">
        <f t="shared" si="661"/>
        <v>0</v>
      </c>
      <c r="BA86" s="121">
        <f t="shared" ref="BA86:BB86" si="772">IFERROR(BA84/BA85,0)</f>
        <v>80.90607744</v>
      </c>
      <c r="BB86" s="122">
        <f t="shared" si="772"/>
        <v>80.90607744</v>
      </c>
      <c r="BC86" s="124">
        <f t="shared" si="663"/>
        <v>0</v>
      </c>
      <c r="BD86" s="31"/>
      <c r="BE86" s="121">
        <f t="shared" ref="BE86:BF86" si="773">IFERROR(BE84/BE85,0)</f>
        <v>0</v>
      </c>
      <c r="BF86" s="122">
        <f t="shared" si="773"/>
        <v>0</v>
      </c>
      <c r="BG86" s="124">
        <f t="shared" si="685"/>
        <v>0</v>
      </c>
      <c r="BH86" s="121">
        <f t="shared" ref="BH86:BI86" si="774">IFERROR(BH84/BH85,0)</f>
        <v>0</v>
      </c>
      <c r="BI86" s="122">
        <f t="shared" si="774"/>
        <v>0</v>
      </c>
      <c r="BJ86" s="124">
        <f t="shared" si="687"/>
        <v>0</v>
      </c>
      <c r="BK86" s="121">
        <f t="shared" ref="BK86:BL86" si="775">IFERROR(BK84/BK85,0)</f>
        <v>0</v>
      </c>
      <c r="BL86" s="122">
        <f t="shared" si="775"/>
        <v>0</v>
      </c>
      <c r="BM86" s="124">
        <f t="shared" si="689"/>
        <v>0</v>
      </c>
    </row>
    <row r="87" ht="15.75" customHeight="1" outlineLevel="1">
      <c r="A87" s="2"/>
      <c r="B87" s="53" t="s">
        <v>36</v>
      </c>
      <c r="C87" s="54" t="s">
        <v>6</v>
      </c>
      <c r="D87" s="2"/>
      <c r="E87" s="55">
        <f t="shared" ref="E87:G87" si="776">SUM(E90:E92)</f>
        <v>23765.08</v>
      </c>
      <c r="F87" s="56">
        <f t="shared" si="776"/>
        <v>287566.3129</v>
      </c>
      <c r="G87" s="56">
        <f t="shared" si="776"/>
        <v>46232.52878</v>
      </c>
      <c r="H87" s="57">
        <f t="shared" ref="H87:H88" si="790">SUM(E87:G87)</f>
        <v>357563.9217</v>
      </c>
      <c r="I87" s="16"/>
      <c r="J87" s="55" t="s">
        <v>7</v>
      </c>
      <c r="K87" s="56">
        <f>SUM(K90:K92)</f>
        <v>0</v>
      </c>
      <c r="L87" s="57" t="s">
        <v>7</v>
      </c>
      <c r="M87" s="55" t="s">
        <v>7</v>
      </c>
      <c r="N87" s="56">
        <f>SUM(N90:N92)</f>
        <v>0</v>
      </c>
      <c r="O87" s="57" t="s">
        <v>7</v>
      </c>
      <c r="P87" s="55" t="s">
        <v>7</v>
      </c>
      <c r="Q87" s="56">
        <f>SUM(Q90:Q92)</f>
        <v>23765.08</v>
      </c>
      <c r="R87" s="57" t="s">
        <v>7</v>
      </c>
      <c r="S87" s="2"/>
      <c r="T87" s="55" t="s">
        <v>7</v>
      </c>
      <c r="U87" s="56">
        <f>SUM(U90:U92)</f>
        <v>25976.05396</v>
      </c>
      <c r="V87" s="57" t="s">
        <v>7</v>
      </c>
      <c r="W87" s="55" t="s">
        <v>7</v>
      </c>
      <c r="X87" s="56">
        <f>SUM(X90:X92)</f>
        <v>21817.28597</v>
      </c>
      <c r="Y87" s="57" t="s">
        <v>7</v>
      </c>
      <c r="Z87" s="56">
        <f t="shared" ref="Z87:AA87" si="777">SUM(Z90:Z92)</f>
        <v>24814.53058</v>
      </c>
      <c r="AA87" s="56">
        <f t="shared" si="777"/>
        <v>31990.26439</v>
      </c>
      <c r="AB87" s="58">
        <f t="shared" si="78"/>
        <v>0.2891746749</v>
      </c>
      <c r="AC87" s="55">
        <f t="shared" ref="AC87:AD87" si="778">SUM(AC90:AC92)</f>
        <v>24613.80935</v>
      </c>
      <c r="AD87" s="55">
        <f t="shared" si="778"/>
        <v>22852.59353</v>
      </c>
      <c r="AE87" s="58">
        <f t="shared" si="80"/>
        <v>-0.07155397209</v>
      </c>
      <c r="AF87" s="55">
        <f t="shared" ref="AF87:AG87" si="779">SUM(AF90:AF92)</f>
        <v>23116.26439</v>
      </c>
      <c r="AG87" s="56">
        <f t="shared" si="779"/>
        <v>23116.26439</v>
      </c>
      <c r="AH87" s="58">
        <f t="shared" si="82"/>
        <v>0</v>
      </c>
      <c r="AI87" s="55">
        <f t="shared" ref="AI87:AJ87" si="780">SUM(AI90:AI92)</f>
        <v>23116.26439</v>
      </c>
      <c r="AJ87" s="56">
        <f t="shared" si="780"/>
        <v>23116.26439</v>
      </c>
      <c r="AK87" s="58">
        <f t="shared" si="84"/>
        <v>0</v>
      </c>
      <c r="AL87" s="55">
        <f t="shared" ref="AL87:AM87" si="781">SUM(AL90:AL92)</f>
        <v>23116.26439</v>
      </c>
      <c r="AM87" s="56">
        <f t="shared" si="781"/>
        <v>23116.26439</v>
      </c>
      <c r="AN87" s="58">
        <f t="shared" si="653"/>
        <v>0</v>
      </c>
      <c r="AO87" s="55">
        <f t="shared" ref="AO87:AP87" si="782">SUM(AO90:AO92)</f>
        <v>23116.26439</v>
      </c>
      <c r="AP87" s="56">
        <f t="shared" si="782"/>
        <v>23116.26439</v>
      </c>
      <c r="AQ87" s="58">
        <f t="shared" si="655"/>
        <v>0</v>
      </c>
      <c r="AR87" s="55">
        <f t="shared" ref="AR87:AS87" si="783">SUM(AR90:AR92)</f>
        <v>23116.26439</v>
      </c>
      <c r="AS87" s="56">
        <f t="shared" si="783"/>
        <v>23116.26439</v>
      </c>
      <c r="AT87" s="58">
        <f t="shared" si="657"/>
        <v>0</v>
      </c>
      <c r="AU87" s="55">
        <f t="shared" ref="AU87:AV87" si="784">SUM(AU90:AU92)</f>
        <v>23116.26439</v>
      </c>
      <c r="AV87" s="56">
        <f t="shared" si="784"/>
        <v>23116.26439</v>
      </c>
      <c r="AW87" s="58">
        <f t="shared" si="659"/>
        <v>0</v>
      </c>
      <c r="AX87" s="55">
        <f t="shared" ref="AX87:AY87" si="785">SUM(AX90:AX92)</f>
        <v>23116.26439</v>
      </c>
      <c r="AY87" s="56">
        <f t="shared" si="785"/>
        <v>23116.26439</v>
      </c>
      <c r="AZ87" s="58">
        <f t="shared" si="661"/>
        <v>0</v>
      </c>
      <c r="BA87" s="55">
        <f t="shared" ref="BA87:BB87" si="786">SUM(BA90:BA92)</f>
        <v>23116.26439</v>
      </c>
      <c r="BB87" s="56">
        <f t="shared" si="786"/>
        <v>23116.26439</v>
      </c>
      <c r="BC87" s="58">
        <f t="shared" si="663"/>
        <v>0</v>
      </c>
      <c r="BD87" s="16"/>
      <c r="BE87" s="55">
        <f t="shared" ref="BE87:BF87" si="787">SUM(BE90:BE92)</f>
        <v>23116.26439</v>
      </c>
      <c r="BF87" s="56">
        <f t="shared" si="787"/>
        <v>23116.26439</v>
      </c>
      <c r="BG87" s="58">
        <f t="shared" si="685"/>
        <v>0</v>
      </c>
      <c r="BH87" s="55">
        <f t="shared" ref="BH87:BI87" si="788">SUM(BH90:BH92)</f>
        <v>23116.26439</v>
      </c>
      <c r="BI87" s="56">
        <f t="shared" si="788"/>
        <v>23116.26439</v>
      </c>
      <c r="BJ87" s="58">
        <f t="shared" si="687"/>
        <v>0</v>
      </c>
      <c r="BK87" s="55">
        <f t="shared" ref="BK87:BL87" si="789">SUM(BK90:BK92)</f>
        <v>0</v>
      </c>
      <c r="BL87" s="56">
        <f t="shared" si="789"/>
        <v>0</v>
      </c>
      <c r="BM87" s="58">
        <f t="shared" si="689"/>
        <v>0</v>
      </c>
    </row>
    <row r="88" ht="15.75" customHeight="1" outlineLevel="1">
      <c r="A88" s="2"/>
      <c r="B88" s="20"/>
      <c r="C88" s="59" t="s">
        <v>8</v>
      </c>
      <c r="D88" s="2"/>
      <c r="E88" s="60">
        <f>K88+N88+Q88</f>
        <v>0</v>
      </c>
      <c r="F88" s="61">
        <f>U88+X88+AA88+AD88+AG88+AJ88+AM88+AP88+AS88+AV88+AY88+BB88</f>
        <v>110</v>
      </c>
      <c r="G88" s="61">
        <f>BF88+BI88+BL88</f>
        <v>20</v>
      </c>
      <c r="H88" s="62">
        <f t="shared" si="790"/>
        <v>130</v>
      </c>
      <c r="I88" s="16"/>
      <c r="J88" s="60" t="s">
        <v>7</v>
      </c>
      <c r="K88" s="61"/>
      <c r="L88" s="62" t="s">
        <v>7</v>
      </c>
      <c r="M88" s="60" t="s">
        <v>7</v>
      </c>
      <c r="N88" s="61"/>
      <c r="O88" s="62" t="s">
        <v>7</v>
      </c>
      <c r="P88" s="60" t="s">
        <v>7</v>
      </c>
      <c r="Q88" s="61"/>
      <c r="R88" s="62" t="s">
        <v>7</v>
      </c>
      <c r="S88" s="2"/>
      <c r="T88" s="60" t="s">
        <v>7</v>
      </c>
      <c r="U88" s="61"/>
      <c r="V88" s="62" t="s">
        <v>7</v>
      </c>
      <c r="W88" s="60" t="s">
        <v>7</v>
      </c>
      <c r="X88" s="127">
        <v>10.0</v>
      </c>
      <c r="Y88" s="62" t="s">
        <v>7</v>
      </c>
      <c r="Z88" s="128">
        <v>10.0</v>
      </c>
      <c r="AA88" s="127">
        <v>10.0</v>
      </c>
      <c r="AB88" s="63">
        <f t="shared" si="78"/>
        <v>0</v>
      </c>
      <c r="AC88" s="128">
        <v>10.0</v>
      </c>
      <c r="AD88" s="127">
        <v>10.0</v>
      </c>
      <c r="AE88" s="63">
        <f t="shared" si="80"/>
        <v>0</v>
      </c>
      <c r="AF88" s="128">
        <v>10.0</v>
      </c>
      <c r="AG88" s="127">
        <v>10.0</v>
      </c>
      <c r="AH88" s="63">
        <f t="shared" si="82"/>
        <v>0</v>
      </c>
      <c r="AI88" s="128">
        <v>10.0</v>
      </c>
      <c r="AJ88" s="127">
        <v>10.0</v>
      </c>
      <c r="AK88" s="63">
        <f t="shared" si="84"/>
        <v>0</v>
      </c>
      <c r="AL88" s="128">
        <v>10.0</v>
      </c>
      <c r="AM88" s="127">
        <v>10.0</v>
      </c>
      <c r="AN88" s="63">
        <f t="shared" si="653"/>
        <v>0</v>
      </c>
      <c r="AO88" s="128">
        <v>10.0</v>
      </c>
      <c r="AP88" s="127">
        <v>10.0</v>
      </c>
      <c r="AQ88" s="63">
        <f t="shared" si="655"/>
        <v>0</v>
      </c>
      <c r="AR88" s="128">
        <v>10.0</v>
      </c>
      <c r="AS88" s="127">
        <v>10.0</v>
      </c>
      <c r="AT88" s="63">
        <f t="shared" si="657"/>
        <v>0</v>
      </c>
      <c r="AU88" s="128">
        <v>10.0</v>
      </c>
      <c r="AV88" s="127">
        <v>10.0</v>
      </c>
      <c r="AW88" s="63">
        <f t="shared" si="659"/>
        <v>0</v>
      </c>
      <c r="AX88" s="128">
        <v>10.0</v>
      </c>
      <c r="AY88" s="127">
        <v>10.0</v>
      </c>
      <c r="AZ88" s="63">
        <f t="shared" si="661"/>
        <v>0</v>
      </c>
      <c r="BA88" s="128">
        <v>10.0</v>
      </c>
      <c r="BB88" s="127">
        <v>10.0</v>
      </c>
      <c r="BC88" s="63">
        <f t="shared" si="663"/>
        <v>0</v>
      </c>
      <c r="BD88" s="16"/>
      <c r="BE88" s="128">
        <v>10.0</v>
      </c>
      <c r="BF88" s="127">
        <v>10.0</v>
      </c>
      <c r="BG88" s="63">
        <f t="shared" si="685"/>
        <v>0</v>
      </c>
      <c r="BH88" s="128">
        <v>10.0</v>
      </c>
      <c r="BI88" s="127">
        <v>10.0</v>
      </c>
      <c r="BJ88" s="63">
        <f t="shared" si="687"/>
        <v>0</v>
      </c>
      <c r="BK88" s="60"/>
      <c r="BL88" s="61"/>
      <c r="BM88" s="63">
        <f t="shared" si="689"/>
        <v>0</v>
      </c>
    </row>
    <row r="89" ht="15.75" customHeight="1" outlineLevel="1">
      <c r="A89" s="2"/>
      <c r="B89" s="26"/>
      <c r="C89" s="64" t="s">
        <v>9</v>
      </c>
      <c r="D89" s="2"/>
      <c r="E89" s="65">
        <f t="shared" ref="E89:H89" si="791">IFERROR(E87/E88,0)</f>
        <v>0</v>
      </c>
      <c r="F89" s="66">
        <f t="shared" si="791"/>
        <v>2614.239209</v>
      </c>
      <c r="G89" s="66">
        <f t="shared" si="791"/>
        <v>2311.626439</v>
      </c>
      <c r="H89" s="67">
        <f t="shared" si="791"/>
        <v>2750.491706</v>
      </c>
      <c r="I89" s="31"/>
      <c r="J89" s="65" t="s">
        <v>7</v>
      </c>
      <c r="K89" s="66">
        <f>IFERROR(K87/K88,0)</f>
        <v>0</v>
      </c>
      <c r="L89" s="67" t="s">
        <v>7</v>
      </c>
      <c r="M89" s="65" t="s">
        <v>7</v>
      </c>
      <c r="N89" s="66">
        <f>IFERROR(N87/N88,0)</f>
        <v>0</v>
      </c>
      <c r="O89" s="67" t="s">
        <v>7</v>
      </c>
      <c r="P89" s="65" t="s">
        <v>7</v>
      </c>
      <c r="Q89" s="66">
        <f>IFERROR(Q87/Q88,0)</f>
        <v>0</v>
      </c>
      <c r="R89" s="67" t="s">
        <v>7</v>
      </c>
      <c r="S89" s="2"/>
      <c r="T89" s="65" t="s">
        <v>7</v>
      </c>
      <c r="U89" s="66">
        <f>IFERROR(U87/U88,0)</f>
        <v>0</v>
      </c>
      <c r="V89" s="67" t="s">
        <v>7</v>
      </c>
      <c r="W89" s="65" t="s">
        <v>7</v>
      </c>
      <c r="X89" s="66">
        <f>IFERROR(X87/X88,0)</f>
        <v>2181.728597</v>
      </c>
      <c r="Y89" s="67" t="s">
        <v>7</v>
      </c>
      <c r="Z89" s="65">
        <f t="shared" ref="Z89:AA89" si="792">IFERROR(Z87/Z88,0)</f>
        <v>2481.453058</v>
      </c>
      <c r="AA89" s="66">
        <f t="shared" si="792"/>
        <v>3199.026439</v>
      </c>
      <c r="AB89" s="68">
        <f t="shared" si="78"/>
        <v>0.2891746749</v>
      </c>
      <c r="AC89" s="65">
        <f t="shared" ref="AC89:AD89" si="793">IFERROR(AC87/AC88,0)</f>
        <v>2461.380935</v>
      </c>
      <c r="AD89" s="66">
        <f t="shared" si="793"/>
        <v>2285.259353</v>
      </c>
      <c r="AE89" s="68">
        <f t="shared" si="80"/>
        <v>-0.07155397209</v>
      </c>
      <c r="AF89" s="65">
        <f t="shared" ref="AF89:AG89" si="794">IFERROR(AF87/AF88,0)</f>
        <v>2311.626439</v>
      </c>
      <c r="AG89" s="66">
        <f t="shared" si="794"/>
        <v>2311.626439</v>
      </c>
      <c r="AH89" s="68">
        <f t="shared" si="82"/>
        <v>0</v>
      </c>
      <c r="AI89" s="65">
        <f t="shared" ref="AI89:AJ89" si="795">IFERROR(AI87/AI88,0)</f>
        <v>2311.626439</v>
      </c>
      <c r="AJ89" s="66">
        <f t="shared" si="795"/>
        <v>2311.626439</v>
      </c>
      <c r="AK89" s="68">
        <f t="shared" si="84"/>
        <v>0</v>
      </c>
      <c r="AL89" s="65">
        <f t="shared" ref="AL89:AM89" si="796">IFERROR(AL87/AL88,0)</f>
        <v>2311.626439</v>
      </c>
      <c r="AM89" s="66">
        <f t="shared" si="796"/>
        <v>2311.626439</v>
      </c>
      <c r="AN89" s="68">
        <f t="shared" si="653"/>
        <v>0</v>
      </c>
      <c r="AO89" s="65">
        <f t="shared" ref="AO89:AP89" si="797">IFERROR(AO87/AO88,0)</f>
        <v>2311.626439</v>
      </c>
      <c r="AP89" s="66">
        <f t="shared" si="797"/>
        <v>2311.626439</v>
      </c>
      <c r="AQ89" s="68">
        <f t="shared" si="655"/>
        <v>0</v>
      </c>
      <c r="AR89" s="65">
        <f t="shared" ref="AR89:AS89" si="798">IFERROR(AR87/AR88,0)</f>
        <v>2311.626439</v>
      </c>
      <c r="AS89" s="66">
        <f t="shared" si="798"/>
        <v>2311.626439</v>
      </c>
      <c r="AT89" s="68">
        <f t="shared" si="657"/>
        <v>0</v>
      </c>
      <c r="AU89" s="65">
        <f t="shared" ref="AU89:AV89" si="799">IFERROR(AU87/AU88,0)</f>
        <v>2311.626439</v>
      </c>
      <c r="AV89" s="66">
        <f t="shared" si="799"/>
        <v>2311.626439</v>
      </c>
      <c r="AW89" s="68">
        <f t="shared" si="659"/>
        <v>0</v>
      </c>
      <c r="AX89" s="65">
        <f t="shared" ref="AX89:AY89" si="800">IFERROR(AX87/AX88,0)</f>
        <v>2311.626439</v>
      </c>
      <c r="AY89" s="66">
        <f t="shared" si="800"/>
        <v>2311.626439</v>
      </c>
      <c r="AZ89" s="68">
        <f t="shared" si="661"/>
        <v>0</v>
      </c>
      <c r="BA89" s="65">
        <f t="shared" ref="BA89:BB89" si="801">IFERROR(BA87/BA88,0)</f>
        <v>2311.626439</v>
      </c>
      <c r="BB89" s="66">
        <f t="shared" si="801"/>
        <v>2311.626439</v>
      </c>
      <c r="BC89" s="68">
        <f t="shared" si="663"/>
        <v>0</v>
      </c>
      <c r="BD89" s="31"/>
      <c r="BE89" s="65">
        <f t="shared" ref="BE89:BF89" si="802">IFERROR(BE87/BE88,0)</f>
        <v>2311.626439</v>
      </c>
      <c r="BF89" s="66">
        <f t="shared" si="802"/>
        <v>2311.626439</v>
      </c>
      <c r="BG89" s="68">
        <f t="shared" si="685"/>
        <v>0</v>
      </c>
      <c r="BH89" s="65">
        <f t="shared" ref="BH89:BI89" si="803">IFERROR(BH87/BH88,0)</f>
        <v>2311.626439</v>
      </c>
      <c r="BI89" s="66">
        <f t="shared" si="803"/>
        <v>2311.626439</v>
      </c>
      <c r="BJ89" s="68">
        <f t="shared" si="687"/>
        <v>0</v>
      </c>
      <c r="BK89" s="65">
        <f t="shared" ref="BK89:BL89" si="804">IFERROR(BK87/BK88,0)</f>
        <v>0</v>
      </c>
      <c r="BL89" s="66">
        <f t="shared" si="804"/>
        <v>0</v>
      </c>
      <c r="BM89" s="68">
        <f t="shared" si="689"/>
        <v>0</v>
      </c>
    </row>
    <row r="90" ht="15.75" customHeight="1" outlineLevel="1">
      <c r="A90" s="69"/>
      <c r="B90" s="129" t="s">
        <v>37</v>
      </c>
      <c r="C90" s="71" t="s">
        <v>6</v>
      </c>
      <c r="D90" s="69"/>
      <c r="E90" s="72">
        <f t="shared" ref="E90:E92" si="817">K90+N90+Q90</f>
        <v>0</v>
      </c>
      <c r="F90" s="73">
        <f t="shared" ref="F90:F92" si="818">U90+X90+AA90+AD90+AG90+AJ90+AM90+AP90+AS90+AV90+AY90+BB90</f>
        <v>82014.38849</v>
      </c>
      <c r="G90" s="73">
        <f t="shared" ref="G90:G92" si="819">BF90+BI90+BL90</f>
        <v>13669.06475</v>
      </c>
      <c r="H90" s="74">
        <f t="shared" ref="H90:H94" si="820">SUM(E90:G90)</f>
        <v>95683.45324</v>
      </c>
      <c r="I90" s="16"/>
      <c r="J90" s="72" t="s">
        <v>7</v>
      </c>
      <c r="K90" s="73"/>
      <c r="L90" s="74" t="s">
        <v>7</v>
      </c>
      <c r="M90" s="72" t="s">
        <v>7</v>
      </c>
      <c r="N90" s="73"/>
      <c r="O90" s="74" t="s">
        <v>7</v>
      </c>
      <c r="P90" s="72" t="s">
        <v>7</v>
      </c>
      <c r="Q90" s="73"/>
      <c r="R90" s="74" t="s">
        <v>7</v>
      </c>
      <c r="S90" s="69"/>
      <c r="T90" s="73"/>
      <c r="U90" s="73">
        <f>38000/$C$163</f>
        <v>6834.532374</v>
      </c>
      <c r="V90" s="74" t="s">
        <v>7</v>
      </c>
      <c r="W90" s="72" t="s">
        <v>7</v>
      </c>
      <c r="X90" s="73">
        <f>38000/$C$163</f>
        <v>6834.532374</v>
      </c>
      <c r="Y90" s="74" t="s">
        <v>7</v>
      </c>
      <c r="Z90" s="73">
        <f t="shared" ref="Z90:AA90" si="805">38000/$C$163</f>
        <v>6834.532374</v>
      </c>
      <c r="AA90" s="73">
        <f t="shared" si="805"/>
        <v>6834.532374</v>
      </c>
      <c r="AB90" s="76">
        <f t="shared" si="78"/>
        <v>0</v>
      </c>
      <c r="AC90" s="73">
        <f t="shared" ref="AC90:AD90" si="806">38000/$C$163</f>
        <v>6834.532374</v>
      </c>
      <c r="AD90" s="73">
        <f t="shared" si="806"/>
        <v>6834.532374</v>
      </c>
      <c r="AE90" s="76">
        <f t="shared" si="80"/>
        <v>0</v>
      </c>
      <c r="AF90" s="73">
        <f t="shared" ref="AF90:AG90" si="807">38000/$C$163</f>
        <v>6834.532374</v>
      </c>
      <c r="AG90" s="73">
        <f t="shared" si="807"/>
        <v>6834.532374</v>
      </c>
      <c r="AH90" s="76">
        <f t="shared" si="82"/>
        <v>0</v>
      </c>
      <c r="AI90" s="73">
        <f t="shared" ref="AI90:AJ90" si="808">38000/$C$163</f>
        <v>6834.532374</v>
      </c>
      <c r="AJ90" s="73">
        <f t="shared" si="808"/>
        <v>6834.532374</v>
      </c>
      <c r="AK90" s="76">
        <f t="shared" si="84"/>
        <v>0</v>
      </c>
      <c r="AL90" s="73">
        <f t="shared" ref="AL90:AM90" si="809">38000/$C$163</f>
        <v>6834.532374</v>
      </c>
      <c r="AM90" s="73">
        <f t="shared" si="809"/>
        <v>6834.532374</v>
      </c>
      <c r="AN90" s="76">
        <f t="shared" si="653"/>
        <v>0</v>
      </c>
      <c r="AO90" s="73">
        <f t="shared" ref="AO90:AP90" si="810">38000/$C$163</f>
        <v>6834.532374</v>
      </c>
      <c r="AP90" s="73">
        <f t="shared" si="810"/>
        <v>6834.532374</v>
      </c>
      <c r="AQ90" s="76">
        <f t="shared" si="655"/>
        <v>0</v>
      </c>
      <c r="AR90" s="73">
        <f t="shared" ref="AR90:AS90" si="811">38000/$C$163</f>
        <v>6834.532374</v>
      </c>
      <c r="AS90" s="73">
        <f t="shared" si="811"/>
        <v>6834.532374</v>
      </c>
      <c r="AT90" s="76">
        <f t="shared" si="657"/>
        <v>0</v>
      </c>
      <c r="AU90" s="73">
        <f t="shared" ref="AU90:AV90" si="812">38000/$C$163</f>
        <v>6834.532374</v>
      </c>
      <c r="AV90" s="73">
        <f t="shared" si="812"/>
        <v>6834.532374</v>
      </c>
      <c r="AW90" s="76">
        <f t="shared" si="659"/>
        <v>0</v>
      </c>
      <c r="AX90" s="73">
        <f t="shared" ref="AX90:AY90" si="813">38000/$C$163</f>
        <v>6834.532374</v>
      </c>
      <c r="AY90" s="73">
        <f t="shared" si="813"/>
        <v>6834.532374</v>
      </c>
      <c r="AZ90" s="76">
        <f t="shared" si="661"/>
        <v>0</v>
      </c>
      <c r="BA90" s="73">
        <f t="shared" ref="BA90:BB90" si="814">38000/$C$163</f>
        <v>6834.532374</v>
      </c>
      <c r="BB90" s="73">
        <f t="shared" si="814"/>
        <v>6834.532374</v>
      </c>
      <c r="BC90" s="76">
        <f t="shared" si="663"/>
        <v>0</v>
      </c>
      <c r="BD90" s="16"/>
      <c r="BE90" s="73">
        <f t="shared" ref="BE90:BF90" si="815">38000/$C$163</f>
        <v>6834.532374</v>
      </c>
      <c r="BF90" s="73">
        <f t="shared" si="815"/>
        <v>6834.532374</v>
      </c>
      <c r="BG90" s="76">
        <f t="shared" si="685"/>
        <v>0</v>
      </c>
      <c r="BH90" s="73">
        <f t="shared" ref="BH90:BI90" si="816">38000/$C$163</f>
        <v>6834.532374</v>
      </c>
      <c r="BI90" s="73">
        <f t="shared" si="816"/>
        <v>6834.532374</v>
      </c>
      <c r="BJ90" s="76">
        <f t="shared" si="687"/>
        <v>0</v>
      </c>
      <c r="BK90" s="72"/>
      <c r="BL90" s="73"/>
      <c r="BM90" s="76">
        <f t="shared" si="689"/>
        <v>0</v>
      </c>
    </row>
    <row r="91" ht="15.75" customHeight="1" outlineLevel="1">
      <c r="A91" s="69"/>
      <c r="B91" s="129" t="s">
        <v>38</v>
      </c>
      <c r="C91" s="71" t="s">
        <v>6</v>
      </c>
      <c r="D91" s="69"/>
      <c r="E91" s="72">
        <f t="shared" si="817"/>
        <v>0</v>
      </c>
      <c r="F91" s="73">
        <f t="shared" si="818"/>
        <v>66632.95683</v>
      </c>
      <c r="G91" s="73">
        <f t="shared" si="819"/>
        <v>11241.46403</v>
      </c>
      <c r="H91" s="74">
        <f t="shared" si="820"/>
        <v>77874.42086</v>
      </c>
      <c r="I91" s="16"/>
      <c r="J91" s="72" t="s">
        <v>7</v>
      </c>
      <c r="K91" s="73"/>
      <c r="L91" s="74" t="s">
        <v>7</v>
      </c>
      <c r="M91" s="72" t="s">
        <v>7</v>
      </c>
      <c r="N91" s="73"/>
      <c r="O91" s="74" t="s">
        <v>7</v>
      </c>
      <c r="P91" s="72" t="s">
        <v>7</v>
      </c>
      <c r="Q91" s="73"/>
      <c r="R91" s="74" t="s">
        <v>7</v>
      </c>
      <c r="S91" s="69"/>
      <c r="T91" s="73"/>
      <c r="U91" s="73">
        <f>29845.96/$C$163</f>
        <v>5367.978417</v>
      </c>
      <c r="V91" s="74" t="s">
        <v>7</v>
      </c>
      <c r="W91" s="72" t="s">
        <v>7</v>
      </c>
      <c r="X91" s="73">
        <f>29586.59/$C$163</f>
        <v>5321.329137</v>
      </c>
      <c r="Y91" s="74" t="s">
        <v>7</v>
      </c>
      <c r="Z91" s="73">
        <f t="shared" ref="Z91:AA91" si="821">31251.27/$C$163</f>
        <v>5620.732014</v>
      </c>
      <c r="AA91" s="73">
        <f t="shared" si="821"/>
        <v>5620.732014</v>
      </c>
      <c r="AB91" s="76">
        <f t="shared" si="78"/>
        <v>0</v>
      </c>
      <c r="AC91" s="73">
        <f t="shared" ref="AC91:AD91" si="822">29785.26/$C$163</f>
        <v>5357.061151</v>
      </c>
      <c r="AD91" s="73">
        <f t="shared" si="822"/>
        <v>5357.061151</v>
      </c>
      <c r="AE91" s="76">
        <f t="shared" si="80"/>
        <v>0</v>
      </c>
      <c r="AF91" s="73">
        <f t="shared" ref="AF91:AG91" si="823">31251.27/$C$163</f>
        <v>5620.732014</v>
      </c>
      <c r="AG91" s="73">
        <f t="shared" si="823"/>
        <v>5620.732014</v>
      </c>
      <c r="AH91" s="76">
        <f t="shared" si="82"/>
        <v>0</v>
      </c>
      <c r="AI91" s="73">
        <f t="shared" ref="AI91:AJ91" si="824">31251.27/$C$163</f>
        <v>5620.732014</v>
      </c>
      <c r="AJ91" s="73">
        <f t="shared" si="824"/>
        <v>5620.732014</v>
      </c>
      <c r="AK91" s="76">
        <f t="shared" si="84"/>
        <v>0</v>
      </c>
      <c r="AL91" s="73">
        <f t="shared" ref="AL91:AM91" si="825">31251.27/$C$163</f>
        <v>5620.732014</v>
      </c>
      <c r="AM91" s="73">
        <f t="shared" si="825"/>
        <v>5620.732014</v>
      </c>
      <c r="AN91" s="76">
        <f t="shared" si="653"/>
        <v>0</v>
      </c>
      <c r="AO91" s="73">
        <f t="shared" ref="AO91:AP91" si="826">31251.27/$C$163</f>
        <v>5620.732014</v>
      </c>
      <c r="AP91" s="73">
        <f t="shared" si="826"/>
        <v>5620.732014</v>
      </c>
      <c r="AQ91" s="76">
        <f t="shared" si="655"/>
        <v>0</v>
      </c>
      <c r="AR91" s="73">
        <f t="shared" ref="AR91:AS91" si="827">31251.27/$C$163</f>
        <v>5620.732014</v>
      </c>
      <c r="AS91" s="73">
        <f t="shared" si="827"/>
        <v>5620.732014</v>
      </c>
      <c r="AT91" s="76">
        <f t="shared" si="657"/>
        <v>0</v>
      </c>
      <c r="AU91" s="73">
        <f t="shared" ref="AU91:AV91" si="828">31251.27/$C$163</f>
        <v>5620.732014</v>
      </c>
      <c r="AV91" s="73">
        <f t="shared" si="828"/>
        <v>5620.732014</v>
      </c>
      <c r="AW91" s="76">
        <f t="shared" si="659"/>
        <v>0</v>
      </c>
      <c r="AX91" s="73">
        <f t="shared" ref="AX91:AY91" si="829">31251.27/$C$163</f>
        <v>5620.732014</v>
      </c>
      <c r="AY91" s="73">
        <f t="shared" si="829"/>
        <v>5620.732014</v>
      </c>
      <c r="AZ91" s="76">
        <f t="shared" si="661"/>
        <v>0</v>
      </c>
      <c r="BA91" s="73">
        <f t="shared" ref="BA91:BB91" si="830">31251.27/$C$163</f>
        <v>5620.732014</v>
      </c>
      <c r="BB91" s="73">
        <f t="shared" si="830"/>
        <v>5620.732014</v>
      </c>
      <c r="BC91" s="76">
        <f t="shared" si="663"/>
        <v>0</v>
      </c>
      <c r="BD91" s="16"/>
      <c r="BE91" s="73">
        <f t="shared" ref="BE91:BF91" si="831">31251.27/$C$163</f>
        <v>5620.732014</v>
      </c>
      <c r="BF91" s="73">
        <f t="shared" si="831"/>
        <v>5620.732014</v>
      </c>
      <c r="BG91" s="76">
        <f t="shared" si="685"/>
        <v>0</v>
      </c>
      <c r="BH91" s="73">
        <f t="shared" ref="BH91:BI91" si="832">31251.27/$C$163</f>
        <v>5620.732014</v>
      </c>
      <c r="BI91" s="73">
        <f t="shared" si="832"/>
        <v>5620.732014</v>
      </c>
      <c r="BJ91" s="76">
        <f t="shared" si="687"/>
        <v>0</v>
      </c>
      <c r="BK91" s="72"/>
      <c r="BL91" s="73"/>
      <c r="BM91" s="76">
        <f t="shared" si="689"/>
        <v>0</v>
      </c>
    </row>
    <row r="92" ht="15.75" customHeight="1" outlineLevel="1">
      <c r="A92" s="69"/>
      <c r="B92" s="129" t="s">
        <v>39</v>
      </c>
      <c r="C92" s="71" t="s">
        <v>6</v>
      </c>
      <c r="D92" s="69"/>
      <c r="E92" s="130">
        <f t="shared" si="817"/>
        <v>23765.08</v>
      </c>
      <c r="F92" s="131">
        <f t="shared" si="818"/>
        <v>138918.9676</v>
      </c>
      <c r="G92" s="131">
        <f t="shared" si="819"/>
        <v>21322</v>
      </c>
      <c r="H92" s="74">
        <f t="shared" si="820"/>
        <v>184006.0476</v>
      </c>
      <c r="I92" s="16"/>
      <c r="J92" s="72" t="s">
        <v>7</v>
      </c>
      <c r="K92" s="73"/>
      <c r="L92" s="74" t="s">
        <v>7</v>
      </c>
      <c r="M92" s="72" t="s">
        <v>7</v>
      </c>
      <c r="N92" s="73"/>
      <c r="O92" s="74" t="s">
        <v>7</v>
      </c>
      <c r="P92" s="72" t="s">
        <v>7</v>
      </c>
      <c r="Q92" s="73">
        <v>23765.08</v>
      </c>
      <c r="R92" s="74" t="s">
        <v>7</v>
      </c>
      <c r="S92" s="69"/>
      <c r="T92" s="72" t="s">
        <v>7</v>
      </c>
      <c r="U92" s="73">
        <f>76580.9/$C$163</f>
        <v>13773.54317</v>
      </c>
      <c r="V92" s="74" t="s">
        <v>7</v>
      </c>
      <c r="W92" s="72" t="s">
        <v>7</v>
      </c>
      <c r="X92" s="73">
        <f>53717.52/$C$163</f>
        <v>9661.42446</v>
      </c>
      <c r="Y92" s="74" t="s">
        <v>7</v>
      </c>
      <c r="Z92" s="93">
        <f>68717.52/$C$163</f>
        <v>12359.26619</v>
      </c>
      <c r="AA92" s="93">
        <v>19535.0</v>
      </c>
      <c r="AB92" s="76">
        <f t="shared" si="78"/>
        <v>0.580595458</v>
      </c>
      <c r="AC92" s="73">
        <f>69067.52/$C$163</f>
        <v>12422.21583</v>
      </c>
      <c r="AD92" s="93">
        <v>10661.0</v>
      </c>
      <c r="AE92" s="76">
        <f t="shared" si="80"/>
        <v>-0.1417795224</v>
      </c>
      <c r="AF92" s="93">
        <v>10661.0</v>
      </c>
      <c r="AG92" s="93">
        <v>10661.0</v>
      </c>
      <c r="AH92" s="76">
        <f t="shared" si="82"/>
        <v>0</v>
      </c>
      <c r="AI92" s="93">
        <v>10661.0</v>
      </c>
      <c r="AJ92" s="93">
        <v>10661.0</v>
      </c>
      <c r="AK92" s="76">
        <f t="shared" si="84"/>
        <v>0</v>
      </c>
      <c r="AL92" s="93">
        <v>10661.0</v>
      </c>
      <c r="AM92" s="93">
        <v>10661.0</v>
      </c>
      <c r="AN92" s="76">
        <f t="shared" si="653"/>
        <v>0</v>
      </c>
      <c r="AO92" s="93">
        <v>10661.0</v>
      </c>
      <c r="AP92" s="93">
        <v>10661.0</v>
      </c>
      <c r="AQ92" s="76">
        <f t="shared" si="655"/>
        <v>0</v>
      </c>
      <c r="AR92" s="93">
        <v>10661.0</v>
      </c>
      <c r="AS92" s="93">
        <v>10661.0</v>
      </c>
      <c r="AT92" s="76">
        <f t="shared" si="657"/>
        <v>0</v>
      </c>
      <c r="AU92" s="93">
        <v>10661.0</v>
      </c>
      <c r="AV92" s="93">
        <v>10661.0</v>
      </c>
      <c r="AW92" s="76">
        <f t="shared" si="659"/>
        <v>0</v>
      </c>
      <c r="AX92" s="93">
        <v>10661.0</v>
      </c>
      <c r="AY92" s="93">
        <v>10661.0</v>
      </c>
      <c r="AZ92" s="76">
        <f t="shared" si="661"/>
        <v>0</v>
      </c>
      <c r="BA92" s="93">
        <v>10661.0</v>
      </c>
      <c r="BB92" s="93">
        <v>10661.0</v>
      </c>
      <c r="BC92" s="76">
        <f t="shared" si="663"/>
        <v>0</v>
      </c>
      <c r="BD92" s="16"/>
      <c r="BE92" s="93">
        <v>10661.0</v>
      </c>
      <c r="BF92" s="93">
        <v>10661.0</v>
      </c>
      <c r="BG92" s="76">
        <f t="shared" si="685"/>
        <v>0</v>
      </c>
      <c r="BH92" s="93">
        <v>10661.0</v>
      </c>
      <c r="BI92" s="93">
        <v>10661.0</v>
      </c>
      <c r="BJ92" s="76">
        <f t="shared" si="687"/>
        <v>0</v>
      </c>
      <c r="BK92" s="72"/>
      <c r="BL92" s="73"/>
      <c r="BM92" s="76">
        <f t="shared" si="689"/>
        <v>0</v>
      </c>
    </row>
    <row r="93" ht="15.75" customHeight="1">
      <c r="A93" s="35"/>
      <c r="B93" s="36" t="s">
        <v>40</v>
      </c>
      <c r="C93" s="37" t="s">
        <v>6</v>
      </c>
      <c r="D93" s="2"/>
      <c r="E93" s="39">
        <f t="shared" ref="E93:G93" si="833">E96+E99+E102+E117+E105+E108+E111+E114</f>
        <v>60810.01</v>
      </c>
      <c r="F93" s="39">
        <f t="shared" si="833"/>
        <v>650589.81</v>
      </c>
      <c r="G93" s="39">
        <f t="shared" si="833"/>
        <v>140000</v>
      </c>
      <c r="H93" s="132">
        <f t="shared" si="820"/>
        <v>851399.82</v>
      </c>
      <c r="I93" s="16"/>
      <c r="J93" s="38" t="s">
        <v>7</v>
      </c>
      <c r="K93" s="39">
        <f t="shared" ref="K93:K94" si="848">K96+K99+K102+K117+K105+K108</f>
        <v>27263.21</v>
      </c>
      <c r="L93" s="40" t="s">
        <v>7</v>
      </c>
      <c r="M93" s="38" t="s">
        <v>7</v>
      </c>
      <c r="N93" s="39">
        <f t="shared" ref="N93:N94" si="849">N96+N99+N102+N117+N105+N108+N111+N114</f>
        <v>23849.69</v>
      </c>
      <c r="O93" s="40" t="s">
        <v>7</v>
      </c>
      <c r="P93" s="38" t="s">
        <v>7</v>
      </c>
      <c r="Q93" s="39">
        <f t="shared" ref="Q93:Q94" si="850">Q96+Q99+Q102+Q117+Q105+Q108+Q111+Q114</f>
        <v>9697.11</v>
      </c>
      <c r="R93" s="40" t="s">
        <v>7</v>
      </c>
      <c r="S93" s="2"/>
      <c r="T93" s="38" t="s">
        <v>7</v>
      </c>
      <c r="U93" s="39">
        <f t="shared" ref="U93:U94" si="851">U96+U99+U102+U117+U105+U108+U111+U114</f>
        <v>7869.19</v>
      </c>
      <c r="V93" s="40" t="s">
        <v>7</v>
      </c>
      <c r="W93" s="38" t="s">
        <v>7</v>
      </c>
      <c r="X93" s="39">
        <f t="shared" ref="X93:X94" si="852">X96+X99+X102+X117+X105+X108+X111+X114</f>
        <v>6229.23</v>
      </c>
      <c r="Y93" s="40" t="s">
        <v>7</v>
      </c>
      <c r="Z93" s="39">
        <f t="shared" ref="Z93:AA93" si="834">Z96+Z99+Z102+Z117+Z105+Z108+Z111+Z114</f>
        <v>55846.53</v>
      </c>
      <c r="AA93" s="39">
        <f t="shared" si="834"/>
        <v>6491.39</v>
      </c>
      <c r="AB93" s="41">
        <f t="shared" si="78"/>
        <v>-0.8837637719</v>
      </c>
      <c r="AC93" s="39">
        <f t="shared" ref="AC93:AD93" si="835">AC96+AC99+AC102+AC117+AC105+AC108+AC111+AC114</f>
        <v>70000</v>
      </c>
      <c r="AD93" s="39">
        <f t="shared" si="835"/>
        <v>70000</v>
      </c>
      <c r="AE93" s="41">
        <f t="shared" si="80"/>
        <v>0</v>
      </c>
      <c r="AF93" s="39">
        <f t="shared" ref="AF93:AG93" si="836">AF96+AF99+AF102+AF117+AF105+AF108+AF111+AF114</f>
        <v>70000</v>
      </c>
      <c r="AG93" s="39">
        <f t="shared" si="836"/>
        <v>70000</v>
      </c>
      <c r="AH93" s="41">
        <f t="shared" si="82"/>
        <v>0</v>
      </c>
      <c r="AI93" s="39">
        <f t="shared" ref="AI93:AJ93" si="837">AI96+AI99+AI102+AI117+AI105+AI108+AI111+AI114</f>
        <v>70000</v>
      </c>
      <c r="AJ93" s="39">
        <f t="shared" si="837"/>
        <v>70000</v>
      </c>
      <c r="AK93" s="41">
        <f t="shared" si="84"/>
        <v>0</v>
      </c>
      <c r="AL93" s="39">
        <f t="shared" ref="AL93:AM93" si="838">AL96+AL99+AL102+AL117+AL105+AL108+AL111+AL114</f>
        <v>70000</v>
      </c>
      <c r="AM93" s="39">
        <f t="shared" si="838"/>
        <v>70000</v>
      </c>
      <c r="AN93" s="41">
        <f t="shared" si="653"/>
        <v>0</v>
      </c>
      <c r="AO93" s="39">
        <f t="shared" ref="AO93:AP93" si="839">AO96+AO99+AO102+AO117+AO105+AO108+AO111+AO114</f>
        <v>70000</v>
      </c>
      <c r="AP93" s="39">
        <f t="shared" si="839"/>
        <v>70000</v>
      </c>
      <c r="AQ93" s="41">
        <f t="shared" si="655"/>
        <v>0</v>
      </c>
      <c r="AR93" s="39">
        <f t="shared" ref="AR93:AS93" si="840">AR96+AR99+AR102+AR117+AR105+AR108+AR111+AR114</f>
        <v>70000</v>
      </c>
      <c r="AS93" s="39">
        <f t="shared" si="840"/>
        <v>70000</v>
      </c>
      <c r="AT93" s="41">
        <f t="shared" si="657"/>
        <v>0</v>
      </c>
      <c r="AU93" s="39">
        <f t="shared" ref="AU93:AV93" si="841">AU96+AU99+AU102+AU117+AU105+AU108+AU111+AU114</f>
        <v>70000</v>
      </c>
      <c r="AV93" s="39">
        <f t="shared" si="841"/>
        <v>70000</v>
      </c>
      <c r="AW93" s="41">
        <f t="shared" si="659"/>
        <v>0</v>
      </c>
      <c r="AX93" s="39">
        <f t="shared" ref="AX93:AY93" si="842">AX96+AX99+AX102+AX117+AX105+AX108+AX111+AX114</f>
        <v>70000</v>
      </c>
      <c r="AY93" s="39">
        <f t="shared" si="842"/>
        <v>70000</v>
      </c>
      <c r="AZ93" s="41">
        <f t="shared" si="661"/>
        <v>0</v>
      </c>
      <c r="BA93" s="39">
        <f t="shared" ref="BA93:BB93" si="843">BA96+BA99+BA102+BA117+BA105+BA108+BA111+BA114</f>
        <v>70000</v>
      </c>
      <c r="BB93" s="39">
        <f t="shared" si="843"/>
        <v>70000</v>
      </c>
      <c r="BC93" s="41">
        <f t="shared" si="663"/>
        <v>0</v>
      </c>
      <c r="BD93" s="16"/>
      <c r="BE93" s="39">
        <f t="shared" ref="BE93:BF93" si="844">BE96+BE99+BE102+BE117+BE105+BE108+BE111+BE114</f>
        <v>70000</v>
      </c>
      <c r="BF93" s="39">
        <f t="shared" si="844"/>
        <v>70000</v>
      </c>
      <c r="BG93" s="41">
        <f t="shared" si="685"/>
        <v>0</v>
      </c>
      <c r="BH93" s="39">
        <f t="shared" ref="BH93:BI93" si="845">BH96+BH99+BH102+BH117+BH105+BH108+BH111+BH114</f>
        <v>70000</v>
      </c>
      <c r="BI93" s="39">
        <f t="shared" si="845"/>
        <v>70000</v>
      </c>
      <c r="BJ93" s="41">
        <f t="shared" si="687"/>
        <v>0</v>
      </c>
      <c r="BK93" s="39">
        <f t="shared" ref="BK93:BL93" si="846">BK96+BK99+BK102+BK117+BK105+BK108+BK111+BK114</f>
        <v>0</v>
      </c>
      <c r="BL93" s="39">
        <f t="shared" si="846"/>
        <v>0</v>
      </c>
      <c r="BM93" s="41">
        <f t="shared" si="689"/>
        <v>0</v>
      </c>
    </row>
    <row r="94" ht="15.75" customHeight="1">
      <c r="B94" s="20"/>
      <c r="C94" s="42" t="s">
        <v>8</v>
      </c>
      <c r="D94" s="2"/>
      <c r="E94" s="44">
        <f t="shared" ref="E94:G94" si="847">E97+E100+E103+E118+E106+E109+E112+E115</f>
        <v>1774</v>
      </c>
      <c r="F94" s="44">
        <f t="shared" si="847"/>
        <v>13335</v>
      </c>
      <c r="G94" s="44">
        <f t="shared" si="847"/>
        <v>2800</v>
      </c>
      <c r="H94" s="133">
        <f t="shared" si="820"/>
        <v>17909</v>
      </c>
      <c r="I94" s="16"/>
      <c r="J94" s="43" t="s">
        <v>7</v>
      </c>
      <c r="K94" s="44">
        <f t="shared" si="848"/>
        <v>867</v>
      </c>
      <c r="L94" s="45" t="s">
        <v>7</v>
      </c>
      <c r="M94" s="43" t="s">
        <v>7</v>
      </c>
      <c r="N94" s="44">
        <f t="shared" si="849"/>
        <v>619</v>
      </c>
      <c r="O94" s="45" t="s">
        <v>7</v>
      </c>
      <c r="P94" s="43" t="s">
        <v>7</v>
      </c>
      <c r="Q94" s="44">
        <f t="shared" si="850"/>
        <v>288</v>
      </c>
      <c r="R94" s="45" t="s">
        <v>7</v>
      </c>
      <c r="S94" s="2"/>
      <c r="T94" s="43" t="s">
        <v>7</v>
      </c>
      <c r="U94" s="44">
        <f t="shared" si="851"/>
        <v>266</v>
      </c>
      <c r="V94" s="45" t="s">
        <v>7</v>
      </c>
      <c r="W94" s="43" t="s">
        <v>7</v>
      </c>
      <c r="X94" s="44">
        <f t="shared" si="852"/>
        <v>176</v>
      </c>
      <c r="Y94" s="45" t="s">
        <v>7</v>
      </c>
      <c r="Z94" s="44">
        <f t="shared" ref="Z94:AA94" si="853">Z97+Z100+Z103+Z118+Z106+Z109+Z112+Z115</f>
        <v>931</v>
      </c>
      <c r="AA94" s="44">
        <f t="shared" si="853"/>
        <v>293</v>
      </c>
      <c r="AB94" s="46">
        <f t="shared" si="78"/>
        <v>-0.6852846402</v>
      </c>
      <c r="AC94" s="44">
        <f t="shared" ref="AC94:AD94" si="854">AC97+AC100+AC103+AC118+AC106+AC109+AC112+AC115</f>
        <v>1400</v>
      </c>
      <c r="AD94" s="44">
        <f t="shared" si="854"/>
        <v>1400</v>
      </c>
      <c r="AE94" s="46">
        <f t="shared" si="80"/>
        <v>0</v>
      </c>
      <c r="AF94" s="44">
        <f t="shared" ref="AF94:AG94" si="855">AF97+AF100+AF103+AF118+AF106+AF109+AF112+AF115</f>
        <v>1400</v>
      </c>
      <c r="AG94" s="44">
        <f t="shared" si="855"/>
        <v>1400</v>
      </c>
      <c r="AH94" s="46">
        <f t="shared" si="82"/>
        <v>0</v>
      </c>
      <c r="AI94" s="44">
        <f t="shared" ref="AI94:AJ94" si="856">AI97+AI100+AI103+AI118+AI106+AI109+AI112+AI115</f>
        <v>1400</v>
      </c>
      <c r="AJ94" s="44">
        <f t="shared" si="856"/>
        <v>1400</v>
      </c>
      <c r="AK94" s="46">
        <f t="shared" si="84"/>
        <v>0</v>
      </c>
      <c r="AL94" s="44">
        <f t="shared" ref="AL94:AM94" si="857">AL97+AL100+AL103+AL118+AL106+AL109+AL112+AL115</f>
        <v>1400</v>
      </c>
      <c r="AM94" s="44">
        <f t="shared" si="857"/>
        <v>1400</v>
      </c>
      <c r="AN94" s="46">
        <f t="shared" si="653"/>
        <v>0</v>
      </c>
      <c r="AO94" s="44">
        <f t="shared" ref="AO94:AP94" si="858">AO97+AO100+AO103+AO118+AO106+AO109+AO112+AO115</f>
        <v>1400</v>
      </c>
      <c r="AP94" s="44">
        <f t="shared" si="858"/>
        <v>1400</v>
      </c>
      <c r="AQ94" s="46">
        <f t="shared" si="655"/>
        <v>0</v>
      </c>
      <c r="AR94" s="44">
        <f t="shared" ref="AR94:AS94" si="859">AR97+AR100+AR103+AR118+AR106+AR109+AR112+AR115</f>
        <v>1400</v>
      </c>
      <c r="AS94" s="44">
        <f t="shared" si="859"/>
        <v>1400</v>
      </c>
      <c r="AT94" s="46">
        <f t="shared" si="657"/>
        <v>0</v>
      </c>
      <c r="AU94" s="44">
        <f t="shared" ref="AU94:AV94" si="860">AU97+AU100+AU103+AU118+AU106+AU109+AU112+AU115</f>
        <v>1400</v>
      </c>
      <c r="AV94" s="44">
        <f t="shared" si="860"/>
        <v>1400</v>
      </c>
      <c r="AW94" s="46">
        <f t="shared" si="659"/>
        <v>0</v>
      </c>
      <c r="AX94" s="44">
        <f t="shared" ref="AX94:AY94" si="861">AX97+AX100+AX103+AX118+AX106+AX109+AX112+AX115</f>
        <v>1400</v>
      </c>
      <c r="AY94" s="44">
        <f t="shared" si="861"/>
        <v>1400</v>
      </c>
      <c r="AZ94" s="46">
        <f t="shared" si="661"/>
        <v>0</v>
      </c>
      <c r="BA94" s="44">
        <f t="shared" ref="BA94:BB94" si="862">BA97+BA100+BA103+BA118+BA106+BA109+BA112+BA115</f>
        <v>1400</v>
      </c>
      <c r="BB94" s="44">
        <f t="shared" si="862"/>
        <v>1400</v>
      </c>
      <c r="BC94" s="46">
        <f t="shared" si="663"/>
        <v>0</v>
      </c>
      <c r="BD94" s="16"/>
      <c r="BE94" s="44">
        <f t="shared" ref="BE94:BF94" si="863">BE97+BE100+BE103+BE118+BE106+BE109+BE112+BE115</f>
        <v>1400</v>
      </c>
      <c r="BF94" s="44">
        <f t="shared" si="863"/>
        <v>1400</v>
      </c>
      <c r="BG94" s="46">
        <f t="shared" si="685"/>
        <v>0</v>
      </c>
      <c r="BH94" s="44">
        <f t="shared" ref="BH94:BI94" si="864">BH97+BH100+BH103+BH118+BH106+BH109+BH112+BH115</f>
        <v>1400</v>
      </c>
      <c r="BI94" s="44">
        <f t="shared" si="864"/>
        <v>1400</v>
      </c>
      <c r="BJ94" s="46">
        <f t="shared" si="687"/>
        <v>0</v>
      </c>
      <c r="BK94" s="43">
        <f t="shared" ref="BK94:BL94" si="865">BK97+BK100+BK103+BK118</f>
        <v>0</v>
      </c>
      <c r="BL94" s="44">
        <f t="shared" si="865"/>
        <v>0</v>
      </c>
      <c r="BM94" s="46">
        <f t="shared" si="689"/>
        <v>0</v>
      </c>
    </row>
    <row r="95" ht="15.75" customHeight="1">
      <c r="B95" s="26"/>
      <c r="C95" s="101" t="s">
        <v>9</v>
      </c>
      <c r="D95" s="2"/>
      <c r="E95" s="103">
        <f t="shared" ref="E95:H95" si="866">IFERROR(E93/E94,0)</f>
        <v>34.27847238</v>
      </c>
      <c r="F95" s="103">
        <f t="shared" si="866"/>
        <v>48.78813723</v>
      </c>
      <c r="G95" s="103">
        <f t="shared" si="866"/>
        <v>50</v>
      </c>
      <c r="H95" s="104">
        <f t="shared" si="866"/>
        <v>47.54033279</v>
      </c>
      <c r="I95" s="31"/>
      <c r="J95" s="102" t="s">
        <v>7</v>
      </c>
      <c r="K95" s="103">
        <f>IFERROR(K93/K94,0)</f>
        <v>31.44545559</v>
      </c>
      <c r="L95" s="104" t="s">
        <v>7</v>
      </c>
      <c r="M95" s="102" t="s">
        <v>7</v>
      </c>
      <c r="N95" s="103">
        <f>IFERROR(N93/N94,0)</f>
        <v>38.52938611</v>
      </c>
      <c r="O95" s="134" t="s">
        <v>7</v>
      </c>
      <c r="P95" s="102" t="s">
        <v>7</v>
      </c>
      <c r="Q95" s="103">
        <f>IFERROR(Q93/Q94,0)</f>
        <v>33.67052083</v>
      </c>
      <c r="R95" s="104" t="s">
        <v>7</v>
      </c>
      <c r="S95" s="2"/>
      <c r="T95" s="102" t="s">
        <v>7</v>
      </c>
      <c r="U95" s="103">
        <f>IFERROR(U93/U94,0)</f>
        <v>29.58342105</v>
      </c>
      <c r="V95" s="104" t="s">
        <v>7</v>
      </c>
      <c r="W95" s="102" t="s">
        <v>7</v>
      </c>
      <c r="X95" s="103">
        <f>IFERROR(X93/X94,0)</f>
        <v>35.39335227</v>
      </c>
      <c r="Y95" s="104" t="s">
        <v>7</v>
      </c>
      <c r="Z95" s="102">
        <f t="shared" ref="Z95:AA95" si="867">IFERROR(Z93/Z94,0)</f>
        <v>59.98553169</v>
      </c>
      <c r="AA95" s="103">
        <f t="shared" si="867"/>
        <v>22.15491468</v>
      </c>
      <c r="AB95" s="105">
        <f t="shared" si="78"/>
        <v>-0.6306623605</v>
      </c>
      <c r="AC95" s="102">
        <f t="shared" ref="AC95:AD95" si="868">IFERROR(AC93/AC94,0)</f>
        <v>50</v>
      </c>
      <c r="AD95" s="103">
        <f t="shared" si="868"/>
        <v>50</v>
      </c>
      <c r="AE95" s="105">
        <f t="shared" si="80"/>
        <v>0</v>
      </c>
      <c r="AF95" s="102">
        <f t="shared" ref="AF95:AG95" si="869">IFERROR(AF93/AF94,0)</f>
        <v>50</v>
      </c>
      <c r="AG95" s="103">
        <f t="shared" si="869"/>
        <v>50</v>
      </c>
      <c r="AH95" s="105">
        <f t="shared" si="82"/>
        <v>0</v>
      </c>
      <c r="AI95" s="102">
        <f t="shared" ref="AI95:AJ95" si="870">IFERROR(AI93/AI94,0)</f>
        <v>50</v>
      </c>
      <c r="AJ95" s="103">
        <f t="shared" si="870"/>
        <v>50</v>
      </c>
      <c r="AK95" s="105">
        <f t="shared" si="84"/>
        <v>0</v>
      </c>
      <c r="AL95" s="102">
        <f t="shared" ref="AL95:AM95" si="871">IFERROR(AL93/AL94,0)</f>
        <v>50</v>
      </c>
      <c r="AM95" s="103">
        <f t="shared" si="871"/>
        <v>50</v>
      </c>
      <c r="AN95" s="105">
        <f t="shared" si="653"/>
        <v>0</v>
      </c>
      <c r="AO95" s="102">
        <f t="shared" ref="AO95:AP95" si="872">IFERROR(AO93/AO94,0)</f>
        <v>50</v>
      </c>
      <c r="AP95" s="103">
        <f t="shared" si="872"/>
        <v>50</v>
      </c>
      <c r="AQ95" s="105">
        <f t="shared" si="655"/>
        <v>0</v>
      </c>
      <c r="AR95" s="102">
        <f t="shared" ref="AR95:AS95" si="873">IFERROR(AR93/AR94,0)</f>
        <v>50</v>
      </c>
      <c r="AS95" s="103">
        <f t="shared" si="873"/>
        <v>50</v>
      </c>
      <c r="AT95" s="105">
        <f t="shared" si="657"/>
        <v>0</v>
      </c>
      <c r="AU95" s="102">
        <f t="shared" ref="AU95:AV95" si="874">IFERROR(AU93/AU94,0)</f>
        <v>50</v>
      </c>
      <c r="AV95" s="103">
        <f t="shared" si="874"/>
        <v>50</v>
      </c>
      <c r="AW95" s="105">
        <f t="shared" si="659"/>
        <v>0</v>
      </c>
      <c r="AX95" s="102">
        <f t="shared" ref="AX95:AY95" si="875">IFERROR(AX93/AX94,0)</f>
        <v>50</v>
      </c>
      <c r="AY95" s="103">
        <f t="shared" si="875"/>
        <v>50</v>
      </c>
      <c r="AZ95" s="105">
        <f t="shared" si="661"/>
        <v>0</v>
      </c>
      <c r="BA95" s="102">
        <f t="shared" ref="BA95:BB95" si="876">IFERROR(BA93/BA94,0)</f>
        <v>50</v>
      </c>
      <c r="BB95" s="103">
        <f t="shared" si="876"/>
        <v>50</v>
      </c>
      <c r="BC95" s="105">
        <f t="shared" si="663"/>
        <v>0</v>
      </c>
      <c r="BD95" s="31"/>
      <c r="BE95" s="102">
        <f t="shared" ref="BE95:BF95" si="877">IFERROR(BE93/BE94,0)</f>
        <v>50</v>
      </c>
      <c r="BF95" s="103">
        <f t="shared" si="877"/>
        <v>50</v>
      </c>
      <c r="BG95" s="105">
        <f t="shared" si="685"/>
        <v>0</v>
      </c>
      <c r="BH95" s="102">
        <f t="shared" ref="BH95:BI95" si="878">IFERROR(BH93/BH94,0)</f>
        <v>50</v>
      </c>
      <c r="BI95" s="103">
        <f t="shared" si="878"/>
        <v>50</v>
      </c>
      <c r="BJ95" s="105">
        <f t="shared" si="687"/>
        <v>0</v>
      </c>
      <c r="BK95" s="102">
        <f t="shared" ref="BK95:BL95" si="879">IFERROR(BK93/BK94,0)</f>
        <v>0</v>
      </c>
      <c r="BL95" s="103">
        <f t="shared" si="879"/>
        <v>0</v>
      </c>
      <c r="BM95" s="105">
        <f t="shared" si="689"/>
        <v>0</v>
      </c>
    </row>
    <row r="96" ht="15.75" customHeight="1" outlineLevel="1">
      <c r="A96" s="2"/>
      <c r="B96" s="135" t="s">
        <v>41</v>
      </c>
      <c r="C96" s="107" t="s">
        <v>6</v>
      </c>
      <c r="D96" s="2"/>
      <c r="E96" s="108">
        <f t="shared" ref="E96:E97" si="880">K96+N96+Q96</f>
        <v>601.09</v>
      </c>
      <c r="F96" s="109">
        <f t="shared" ref="F96:F97" si="881">U96+X96+AA96+AD96+AG96+AJ96+AM96+AP96+AS96+AV96+AY96+BB96</f>
        <v>629947.12</v>
      </c>
      <c r="G96" s="109">
        <f t="shared" ref="G96:G97" si="882">BF96+BI96+BL96</f>
        <v>140000</v>
      </c>
      <c r="H96" s="110">
        <f t="shared" ref="H96:H97" si="883">SUM(E96:G96)</f>
        <v>770548.21</v>
      </c>
      <c r="I96" s="16"/>
      <c r="J96" s="108" t="s">
        <v>7</v>
      </c>
      <c r="K96" s="136">
        <v>249.76</v>
      </c>
      <c r="L96" s="110" t="s">
        <v>7</v>
      </c>
      <c r="M96" s="108" t="s">
        <v>7</v>
      </c>
      <c r="N96" s="136">
        <v>351.33</v>
      </c>
      <c r="O96" s="110" t="s">
        <v>7</v>
      </c>
      <c r="P96" s="108" t="s">
        <v>7</v>
      </c>
      <c r="Q96" s="136"/>
      <c r="R96" s="110" t="s">
        <v>7</v>
      </c>
      <c r="S96" s="2"/>
      <c r="T96" s="108" t="s">
        <v>7</v>
      </c>
      <c r="U96" s="136">
        <v>-52.88</v>
      </c>
      <c r="V96" s="110" t="s">
        <v>7</v>
      </c>
      <c r="W96" s="108" t="s">
        <v>7</v>
      </c>
      <c r="X96" s="109"/>
      <c r="Y96" s="110" t="s">
        <v>7</v>
      </c>
      <c r="Z96" s="108">
        <v>55846.53</v>
      </c>
      <c r="AA96" s="137">
        <v>0.0</v>
      </c>
      <c r="AB96" s="111">
        <f t="shared" si="78"/>
        <v>-1</v>
      </c>
      <c r="AC96" s="125">
        <v>70000.0</v>
      </c>
      <c r="AD96" s="136">
        <v>70000.0</v>
      </c>
      <c r="AE96" s="111">
        <f t="shared" si="80"/>
        <v>0</v>
      </c>
      <c r="AF96" s="125">
        <v>70000.0</v>
      </c>
      <c r="AG96" s="136">
        <v>70000.0</v>
      </c>
      <c r="AH96" s="111">
        <f t="shared" si="82"/>
        <v>0</v>
      </c>
      <c r="AI96" s="125">
        <v>70000.0</v>
      </c>
      <c r="AJ96" s="136">
        <v>70000.0</v>
      </c>
      <c r="AK96" s="111">
        <f t="shared" si="84"/>
        <v>0</v>
      </c>
      <c r="AL96" s="125">
        <v>70000.0</v>
      </c>
      <c r="AM96" s="136">
        <v>70000.0</v>
      </c>
      <c r="AN96" s="111">
        <f t="shared" si="653"/>
        <v>0</v>
      </c>
      <c r="AO96" s="125">
        <v>70000.0</v>
      </c>
      <c r="AP96" s="136">
        <v>70000.0</v>
      </c>
      <c r="AQ96" s="111">
        <f t="shared" si="655"/>
        <v>0</v>
      </c>
      <c r="AR96" s="125">
        <v>70000.0</v>
      </c>
      <c r="AS96" s="136">
        <v>70000.0</v>
      </c>
      <c r="AT96" s="111">
        <f t="shared" si="657"/>
        <v>0</v>
      </c>
      <c r="AU96" s="125">
        <v>70000.0</v>
      </c>
      <c r="AV96" s="136">
        <v>70000.0</v>
      </c>
      <c r="AW96" s="111">
        <f t="shared" si="659"/>
        <v>0</v>
      </c>
      <c r="AX96" s="125">
        <v>70000.0</v>
      </c>
      <c r="AY96" s="136">
        <v>70000.0</v>
      </c>
      <c r="AZ96" s="111">
        <f t="shared" si="661"/>
        <v>0</v>
      </c>
      <c r="BA96" s="125">
        <v>70000.0</v>
      </c>
      <c r="BB96" s="136">
        <v>70000.0</v>
      </c>
      <c r="BC96" s="111">
        <f t="shared" si="663"/>
        <v>0</v>
      </c>
      <c r="BD96" s="16"/>
      <c r="BE96" s="125">
        <v>70000.0</v>
      </c>
      <c r="BF96" s="136">
        <v>70000.0</v>
      </c>
      <c r="BG96" s="111">
        <f t="shared" si="685"/>
        <v>0</v>
      </c>
      <c r="BH96" s="125">
        <v>70000.0</v>
      </c>
      <c r="BI96" s="136">
        <v>70000.0</v>
      </c>
      <c r="BJ96" s="111">
        <f t="shared" si="687"/>
        <v>0</v>
      </c>
      <c r="BK96" s="108"/>
      <c r="BL96" s="109"/>
      <c r="BM96" s="111">
        <f t="shared" si="689"/>
        <v>0</v>
      </c>
    </row>
    <row r="97" ht="15.75" customHeight="1" outlineLevel="1">
      <c r="A97" s="2"/>
      <c r="B97" s="20"/>
      <c r="C97" s="112" t="s">
        <v>8</v>
      </c>
      <c r="D97" s="2"/>
      <c r="E97" s="113">
        <f t="shared" si="880"/>
        <v>95</v>
      </c>
      <c r="F97" s="114">
        <f t="shared" si="881"/>
        <v>12611</v>
      </c>
      <c r="G97" s="114">
        <f t="shared" si="882"/>
        <v>2800</v>
      </c>
      <c r="H97" s="115">
        <f t="shared" si="883"/>
        <v>15506</v>
      </c>
      <c r="I97" s="16"/>
      <c r="J97" s="113" t="s">
        <v>7</v>
      </c>
      <c r="K97" s="116">
        <v>34.0</v>
      </c>
      <c r="L97" s="115" t="s">
        <v>7</v>
      </c>
      <c r="M97" s="113" t="s">
        <v>7</v>
      </c>
      <c r="N97" s="116">
        <v>61.0</v>
      </c>
      <c r="O97" s="115" t="s">
        <v>7</v>
      </c>
      <c r="P97" s="113" t="s">
        <v>7</v>
      </c>
      <c r="Q97" s="114"/>
      <c r="R97" s="115" t="s">
        <v>7</v>
      </c>
      <c r="S97" s="2"/>
      <c r="T97" s="113" t="s">
        <v>7</v>
      </c>
      <c r="U97" s="116">
        <v>11.0</v>
      </c>
      <c r="V97" s="115" t="s">
        <v>7</v>
      </c>
      <c r="W97" s="113" t="s">
        <v>7</v>
      </c>
      <c r="X97" s="114"/>
      <c r="Y97" s="115" t="s">
        <v>7</v>
      </c>
      <c r="Z97" s="113">
        <v>931.0</v>
      </c>
      <c r="AA97" s="138">
        <v>0.0</v>
      </c>
      <c r="AB97" s="119">
        <f t="shared" si="78"/>
        <v>-1</v>
      </c>
      <c r="AC97" s="117">
        <f t="shared" ref="AC97:AD97" si="884">AC96/50</f>
        <v>1400</v>
      </c>
      <c r="AD97" s="117">
        <f t="shared" si="884"/>
        <v>1400</v>
      </c>
      <c r="AE97" s="119">
        <f t="shared" si="80"/>
        <v>0</v>
      </c>
      <c r="AF97" s="113">
        <f t="shared" ref="AF97:AG97" si="885">AF96/50</f>
        <v>1400</v>
      </c>
      <c r="AG97" s="113">
        <f t="shared" si="885"/>
        <v>1400</v>
      </c>
      <c r="AH97" s="119">
        <f t="shared" si="82"/>
        <v>0</v>
      </c>
      <c r="AI97" s="113">
        <f t="shared" ref="AI97:AJ97" si="886">AI96/50</f>
        <v>1400</v>
      </c>
      <c r="AJ97" s="113">
        <f t="shared" si="886"/>
        <v>1400</v>
      </c>
      <c r="AK97" s="119">
        <f t="shared" si="84"/>
        <v>0</v>
      </c>
      <c r="AL97" s="113">
        <f t="shared" ref="AL97:AM97" si="887">AL96/50</f>
        <v>1400</v>
      </c>
      <c r="AM97" s="113">
        <f t="shared" si="887"/>
        <v>1400</v>
      </c>
      <c r="AN97" s="119">
        <f t="shared" si="653"/>
        <v>0</v>
      </c>
      <c r="AO97" s="113">
        <f t="shared" ref="AO97:AP97" si="888">AO96/50</f>
        <v>1400</v>
      </c>
      <c r="AP97" s="113">
        <f t="shared" si="888"/>
        <v>1400</v>
      </c>
      <c r="AQ97" s="119">
        <f t="shared" si="655"/>
        <v>0</v>
      </c>
      <c r="AR97" s="113">
        <f t="shared" ref="AR97:AS97" si="889">AR96/50</f>
        <v>1400</v>
      </c>
      <c r="AS97" s="113">
        <f t="shared" si="889"/>
        <v>1400</v>
      </c>
      <c r="AT97" s="119">
        <f t="shared" si="657"/>
        <v>0</v>
      </c>
      <c r="AU97" s="113">
        <f t="shared" ref="AU97:AV97" si="890">AU96/50</f>
        <v>1400</v>
      </c>
      <c r="AV97" s="113">
        <f t="shared" si="890"/>
        <v>1400</v>
      </c>
      <c r="AW97" s="119">
        <f t="shared" si="659"/>
        <v>0</v>
      </c>
      <c r="AX97" s="113">
        <f t="shared" ref="AX97:AY97" si="891">AX96/50</f>
        <v>1400</v>
      </c>
      <c r="AY97" s="113">
        <f t="shared" si="891"/>
        <v>1400</v>
      </c>
      <c r="AZ97" s="119">
        <f t="shared" si="661"/>
        <v>0</v>
      </c>
      <c r="BA97" s="113">
        <f t="shared" ref="BA97:BB97" si="892">BA96/50</f>
        <v>1400</v>
      </c>
      <c r="BB97" s="113">
        <f t="shared" si="892"/>
        <v>1400</v>
      </c>
      <c r="BC97" s="119">
        <f t="shared" si="663"/>
        <v>0</v>
      </c>
      <c r="BD97" s="16"/>
      <c r="BE97" s="113">
        <f t="shared" ref="BE97:BF97" si="893">BE96/50</f>
        <v>1400</v>
      </c>
      <c r="BF97" s="113">
        <f t="shared" si="893"/>
        <v>1400</v>
      </c>
      <c r="BG97" s="119">
        <f t="shared" si="685"/>
        <v>0</v>
      </c>
      <c r="BH97" s="113">
        <f t="shared" ref="BH97:BI97" si="894">BH96/50</f>
        <v>1400</v>
      </c>
      <c r="BI97" s="113">
        <f t="shared" si="894"/>
        <v>1400</v>
      </c>
      <c r="BJ97" s="119">
        <f t="shared" si="687"/>
        <v>0</v>
      </c>
      <c r="BK97" s="113"/>
      <c r="BL97" s="114"/>
      <c r="BM97" s="119">
        <f t="shared" si="689"/>
        <v>0</v>
      </c>
    </row>
    <row r="98" ht="15.75" customHeight="1" outlineLevel="1">
      <c r="A98" s="2"/>
      <c r="B98" s="26"/>
      <c r="C98" s="120" t="s">
        <v>9</v>
      </c>
      <c r="D98" s="2"/>
      <c r="E98" s="121">
        <f t="shared" ref="E98:H98" si="895">IFERROR(E96/E97,0)</f>
        <v>6.327263158</v>
      </c>
      <c r="F98" s="122">
        <f t="shared" si="895"/>
        <v>49.95219412</v>
      </c>
      <c r="G98" s="122">
        <f t="shared" si="895"/>
        <v>50</v>
      </c>
      <c r="H98" s="123">
        <f t="shared" si="895"/>
        <v>49.69355153</v>
      </c>
      <c r="I98" s="31"/>
      <c r="J98" s="121" t="s">
        <v>7</v>
      </c>
      <c r="K98" s="122">
        <f>IFERROR(K96/K97,0)</f>
        <v>7.345882353</v>
      </c>
      <c r="L98" s="123" t="s">
        <v>7</v>
      </c>
      <c r="M98" s="121" t="s">
        <v>7</v>
      </c>
      <c r="N98" s="122">
        <f>IFERROR(N96/N97,0)</f>
        <v>5.759508197</v>
      </c>
      <c r="O98" s="123" t="s">
        <v>7</v>
      </c>
      <c r="P98" s="121" t="s">
        <v>7</v>
      </c>
      <c r="Q98" s="122">
        <f>IFERROR(Q96/Q97,0)</f>
        <v>0</v>
      </c>
      <c r="R98" s="123" t="s">
        <v>7</v>
      </c>
      <c r="S98" s="2"/>
      <c r="T98" s="121" t="s">
        <v>7</v>
      </c>
      <c r="U98" s="139">
        <v>0.0</v>
      </c>
      <c r="V98" s="123" t="s">
        <v>7</v>
      </c>
      <c r="W98" s="121" t="s">
        <v>7</v>
      </c>
      <c r="X98" s="122">
        <f>IFERROR(X96/X97,0)</f>
        <v>0</v>
      </c>
      <c r="Y98" s="123" t="s">
        <v>7</v>
      </c>
      <c r="Z98" s="121">
        <f t="shared" ref="Z98:AA98" si="896">IFERROR(Z96/Z97,0)</f>
        <v>59.98553169</v>
      </c>
      <c r="AA98" s="121">
        <f t="shared" si="896"/>
        <v>0</v>
      </c>
      <c r="AB98" s="124">
        <f t="shared" si="78"/>
        <v>-1</v>
      </c>
      <c r="AC98" s="121">
        <f t="shared" ref="AC98:AD98" si="897">IFERROR(AC96/AC97,0)</f>
        <v>50</v>
      </c>
      <c r="AD98" s="122">
        <f t="shared" si="897"/>
        <v>50</v>
      </c>
      <c r="AE98" s="124">
        <f t="shared" si="80"/>
        <v>0</v>
      </c>
      <c r="AF98" s="121">
        <f t="shared" ref="AF98:AG98" si="898">IFERROR(AF96/AF97,0)</f>
        <v>50</v>
      </c>
      <c r="AG98" s="122">
        <f t="shared" si="898"/>
        <v>50</v>
      </c>
      <c r="AH98" s="124">
        <f t="shared" si="82"/>
        <v>0</v>
      </c>
      <c r="AI98" s="121">
        <f t="shared" ref="AI98:AJ98" si="899">IFERROR(AI96/AI97,0)</f>
        <v>50</v>
      </c>
      <c r="AJ98" s="122">
        <f t="shared" si="899"/>
        <v>50</v>
      </c>
      <c r="AK98" s="124">
        <f t="shared" si="84"/>
        <v>0</v>
      </c>
      <c r="AL98" s="121">
        <f t="shared" ref="AL98:AM98" si="900">IFERROR(AL96/AL97,0)</f>
        <v>50</v>
      </c>
      <c r="AM98" s="122">
        <f t="shared" si="900"/>
        <v>50</v>
      </c>
      <c r="AN98" s="124">
        <f t="shared" si="653"/>
        <v>0</v>
      </c>
      <c r="AO98" s="121">
        <f t="shared" ref="AO98:AP98" si="901">IFERROR(AO96/AO97,0)</f>
        <v>50</v>
      </c>
      <c r="AP98" s="122">
        <f t="shared" si="901"/>
        <v>50</v>
      </c>
      <c r="AQ98" s="124">
        <f t="shared" si="655"/>
        <v>0</v>
      </c>
      <c r="AR98" s="121">
        <f t="shared" ref="AR98:AS98" si="902">IFERROR(AR96/AR97,0)</f>
        <v>50</v>
      </c>
      <c r="AS98" s="122">
        <f t="shared" si="902"/>
        <v>50</v>
      </c>
      <c r="AT98" s="124">
        <f t="shared" si="657"/>
        <v>0</v>
      </c>
      <c r="AU98" s="121">
        <f t="shared" ref="AU98:AV98" si="903">IFERROR(AU96/AU97,0)</f>
        <v>50</v>
      </c>
      <c r="AV98" s="122">
        <f t="shared" si="903"/>
        <v>50</v>
      </c>
      <c r="AW98" s="124">
        <f t="shared" si="659"/>
        <v>0</v>
      </c>
      <c r="AX98" s="121">
        <f t="shared" ref="AX98:AY98" si="904">IFERROR(AX96/AX97,0)</f>
        <v>50</v>
      </c>
      <c r="AY98" s="122">
        <f t="shared" si="904"/>
        <v>50</v>
      </c>
      <c r="AZ98" s="124">
        <f t="shared" si="661"/>
        <v>0</v>
      </c>
      <c r="BA98" s="121">
        <f t="shared" ref="BA98:BB98" si="905">IFERROR(BA96/BA97,0)</f>
        <v>50</v>
      </c>
      <c r="BB98" s="122">
        <f t="shared" si="905"/>
        <v>50</v>
      </c>
      <c r="BC98" s="124">
        <f t="shared" si="663"/>
        <v>0</v>
      </c>
      <c r="BD98" s="31"/>
      <c r="BE98" s="121">
        <f t="shared" ref="BE98:BF98" si="906">IFERROR(BE96/BE97,0)</f>
        <v>50</v>
      </c>
      <c r="BF98" s="122">
        <f t="shared" si="906"/>
        <v>50</v>
      </c>
      <c r="BG98" s="124">
        <f t="shared" si="685"/>
        <v>0</v>
      </c>
      <c r="BH98" s="121">
        <f t="shared" ref="BH98:BI98" si="907">IFERROR(BH96/BH97,0)</f>
        <v>50</v>
      </c>
      <c r="BI98" s="122">
        <f t="shared" si="907"/>
        <v>50</v>
      </c>
      <c r="BJ98" s="124">
        <f t="shared" si="687"/>
        <v>0</v>
      </c>
      <c r="BK98" s="121">
        <f t="shared" ref="BK98:BL98" si="908">IFERROR(BK96/BK97,0)</f>
        <v>0</v>
      </c>
      <c r="BL98" s="122">
        <f t="shared" si="908"/>
        <v>0</v>
      </c>
      <c r="BM98" s="124">
        <f t="shared" si="689"/>
        <v>0</v>
      </c>
    </row>
    <row r="99" ht="15.75" customHeight="1" outlineLevel="1">
      <c r="A99" s="2"/>
      <c r="B99" s="135" t="s">
        <v>42</v>
      </c>
      <c r="C99" s="107" t="s">
        <v>6</v>
      </c>
      <c r="D99" s="2"/>
      <c r="E99" s="108">
        <f t="shared" ref="E99:E100" si="909">K99+N99+Q99</f>
        <v>7800</v>
      </c>
      <c r="F99" s="109">
        <f t="shared" ref="F99:F100" si="910">U99+X99+AA99+AD99+AG99+AJ99+AM99+AP99+AS99+AV99+AY99+BB99</f>
        <v>3582.54</v>
      </c>
      <c r="G99" s="109">
        <f t="shared" ref="G99:G100" si="911">BF99+BI99+BL99</f>
        <v>0</v>
      </c>
      <c r="H99" s="110">
        <f t="shared" ref="H99:H100" si="912">SUM(E99:G99)</f>
        <v>11382.54</v>
      </c>
      <c r="I99" s="16"/>
      <c r="J99" s="108" t="s">
        <v>7</v>
      </c>
      <c r="K99" s="136">
        <v>7320.0</v>
      </c>
      <c r="L99" s="110" t="s">
        <v>7</v>
      </c>
      <c r="M99" s="108" t="s">
        <v>7</v>
      </c>
      <c r="N99" s="109"/>
      <c r="O99" s="110" t="s">
        <v>7</v>
      </c>
      <c r="P99" s="108" t="s">
        <v>7</v>
      </c>
      <c r="Q99" s="136">
        <v>480.0</v>
      </c>
      <c r="R99" s="110" t="s">
        <v>7</v>
      </c>
      <c r="S99" s="2"/>
      <c r="T99" s="108" t="s">
        <v>7</v>
      </c>
      <c r="U99" s="136">
        <v>1110.0</v>
      </c>
      <c r="V99" s="110" t="s">
        <v>7</v>
      </c>
      <c r="W99" s="108" t="s">
        <v>7</v>
      </c>
      <c r="X99" s="136">
        <v>570.0</v>
      </c>
      <c r="Y99" s="110" t="s">
        <v>7</v>
      </c>
      <c r="Z99" s="108"/>
      <c r="AA99" s="136">
        <v>1902.54</v>
      </c>
      <c r="AB99" s="111">
        <f t="shared" si="78"/>
        <v>0</v>
      </c>
      <c r="AC99" s="108"/>
      <c r="AD99" s="109"/>
      <c r="AE99" s="111">
        <f t="shared" si="80"/>
        <v>0</v>
      </c>
      <c r="AF99" s="108"/>
      <c r="AG99" s="109"/>
      <c r="AH99" s="111">
        <f t="shared" si="82"/>
        <v>0</v>
      </c>
      <c r="AI99" s="108"/>
      <c r="AJ99" s="109"/>
      <c r="AK99" s="111">
        <f t="shared" si="84"/>
        <v>0</v>
      </c>
      <c r="AL99" s="108"/>
      <c r="AM99" s="109"/>
      <c r="AN99" s="111">
        <f t="shared" si="653"/>
        <v>0</v>
      </c>
      <c r="AO99" s="108"/>
      <c r="AP99" s="109"/>
      <c r="AQ99" s="111">
        <f t="shared" si="655"/>
        <v>0</v>
      </c>
      <c r="AR99" s="108"/>
      <c r="AS99" s="109"/>
      <c r="AT99" s="111">
        <f t="shared" si="657"/>
        <v>0</v>
      </c>
      <c r="AU99" s="108"/>
      <c r="AV99" s="109"/>
      <c r="AW99" s="111">
        <f t="shared" si="659"/>
        <v>0</v>
      </c>
      <c r="AX99" s="108"/>
      <c r="AY99" s="109"/>
      <c r="AZ99" s="111">
        <f t="shared" si="661"/>
        <v>0</v>
      </c>
      <c r="BA99" s="108"/>
      <c r="BB99" s="109"/>
      <c r="BC99" s="111">
        <f t="shared" si="663"/>
        <v>0</v>
      </c>
      <c r="BD99" s="16"/>
      <c r="BE99" s="108"/>
      <c r="BF99" s="109"/>
      <c r="BG99" s="111">
        <f t="shared" si="685"/>
        <v>0</v>
      </c>
      <c r="BH99" s="108"/>
      <c r="BI99" s="109"/>
      <c r="BJ99" s="111">
        <f t="shared" si="687"/>
        <v>0</v>
      </c>
      <c r="BK99" s="108"/>
      <c r="BL99" s="109"/>
      <c r="BM99" s="111">
        <f t="shared" si="689"/>
        <v>0</v>
      </c>
    </row>
    <row r="100" ht="15.75" customHeight="1" outlineLevel="1">
      <c r="A100" s="2"/>
      <c r="B100" s="20"/>
      <c r="C100" s="112" t="s">
        <v>8</v>
      </c>
      <c r="D100" s="2"/>
      <c r="E100" s="113">
        <f t="shared" si="909"/>
        <v>281</v>
      </c>
      <c r="F100" s="114">
        <f t="shared" si="910"/>
        <v>238</v>
      </c>
      <c r="G100" s="114">
        <f t="shared" si="911"/>
        <v>0</v>
      </c>
      <c r="H100" s="115">
        <f t="shared" si="912"/>
        <v>519</v>
      </c>
      <c r="I100" s="16"/>
      <c r="J100" s="113" t="s">
        <v>7</v>
      </c>
      <c r="K100" s="116">
        <v>253.0</v>
      </c>
      <c r="L100" s="115" t="s">
        <v>7</v>
      </c>
      <c r="M100" s="113" t="s">
        <v>7</v>
      </c>
      <c r="N100" s="114"/>
      <c r="O100" s="115" t="s">
        <v>7</v>
      </c>
      <c r="P100" s="113" t="s">
        <v>7</v>
      </c>
      <c r="Q100" s="116">
        <v>28.0</v>
      </c>
      <c r="R100" s="115" t="s">
        <v>7</v>
      </c>
      <c r="S100" s="2"/>
      <c r="T100" s="113" t="s">
        <v>7</v>
      </c>
      <c r="U100" s="116">
        <v>112.0</v>
      </c>
      <c r="V100" s="115" t="s">
        <v>7</v>
      </c>
      <c r="W100" s="113" t="s">
        <v>7</v>
      </c>
      <c r="X100" s="116">
        <v>35.0</v>
      </c>
      <c r="Y100" s="115" t="s">
        <v>7</v>
      </c>
      <c r="Z100" s="113"/>
      <c r="AA100" s="138">
        <v>91.0</v>
      </c>
      <c r="AB100" s="119">
        <f t="shared" si="78"/>
        <v>0</v>
      </c>
      <c r="AC100" s="113"/>
      <c r="AD100" s="114"/>
      <c r="AE100" s="119">
        <f t="shared" si="80"/>
        <v>0</v>
      </c>
      <c r="AF100" s="113"/>
      <c r="AG100" s="114"/>
      <c r="AH100" s="119">
        <f t="shared" si="82"/>
        <v>0</v>
      </c>
      <c r="AI100" s="113"/>
      <c r="AJ100" s="114"/>
      <c r="AK100" s="119">
        <f t="shared" si="84"/>
        <v>0</v>
      </c>
      <c r="AL100" s="113"/>
      <c r="AM100" s="114"/>
      <c r="AN100" s="119">
        <f t="shared" si="653"/>
        <v>0</v>
      </c>
      <c r="AO100" s="113"/>
      <c r="AP100" s="114"/>
      <c r="AQ100" s="119">
        <f t="shared" si="655"/>
        <v>0</v>
      </c>
      <c r="AR100" s="113"/>
      <c r="AS100" s="114"/>
      <c r="AT100" s="119">
        <f t="shared" si="657"/>
        <v>0</v>
      </c>
      <c r="AU100" s="113"/>
      <c r="AV100" s="114"/>
      <c r="AW100" s="119">
        <f t="shared" si="659"/>
        <v>0</v>
      </c>
      <c r="AX100" s="113"/>
      <c r="AY100" s="114"/>
      <c r="AZ100" s="119">
        <f t="shared" si="661"/>
        <v>0</v>
      </c>
      <c r="BA100" s="113"/>
      <c r="BB100" s="114"/>
      <c r="BC100" s="119">
        <f t="shared" si="663"/>
        <v>0</v>
      </c>
      <c r="BD100" s="16"/>
      <c r="BE100" s="113"/>
      <c r="BF100" s="114"/>
      <c r="BG100" s="119">
        <f t="shared" si="685"/>
        <v>0</v>
      </c>
      <c r="BH100" s="113"/>
      <c r="BI100" s="114"/>
      <c r="BJ100" s="119">
        <f t="shared" si="687"/>
        <v>0</v>
      </c>
      <c r="BK100" s="113"/>
      <c r="BL100" s="114"/>
      <c r="BM100" s="119">
        <f t="shared" si="689"/>
        <v>0</v>
      </c>
    </row>
    <row r="101" ht="15.75" customHeight="1" outlineLevel="1">
      <c r="A101" s="2"/>
      <c r="B101" s="26"/>
      <c r="C101" s="120" t="s">
        <v>9</v>
      </c>
      <c r="D101" s="2"/>
      <c r="E101" s="121">
        <f t="shared" ref="E101:H101" si="913">IFERROR(E99/E100,0)</f>
        <v>27.75800712</v>
      </c>
      <c r="F101" s="122">
        <f t="shared" si="913"/>
        <v>15.05268908</v>
      </c>
      <c r="G101" s="122">
        <f t="shared" si="913"/>
        <v>0</v>
      </c>
      <c r="H101" s="123">
        <f t="shared" si="913"/>
        <v>21.9316763</v>
      </c>
      <c r="I101" s="31"/>
      <c r="J101" s="121" t="s">
        <v>7</v>
      </c>
      <c r="K101" s="122">
        <f>IFERROR(K99/K100,0)</f>
        <v>28.93280632</v>
      </c>
      <c r="L101" s="123" t="s">
        <v>7</v>
      </c>
      <c r="M101" s="121" t="s">
        <v>7</v>
      </c>
      <c r="N101" s="122">
        <f>IFERROR(N99/N100,0)</f>
        <v>0</v>
      </c>
      <c r="O101" s="123" t="s">
        <v>7</v>
      </c>
      <c r="P101" s="121" t="s">
        <v>7</v>
      </c>
      <c r="Q101" s="122">
        <f>IFERROR(Q99/Q100,0)</f>
        <v>17.14285714</v>
      </c>
      <c r="R101" s="123" t="s">
        <v>7</v>
      </c>
      <c r="S101" s="2"/>
      <c r="T101" s="121" t="s">
        <v>7</v>
      </c>
      <c r="U101" s="122">
        <f>IFERROR(U99/U100,0)</f>
        <v>9.910714286</v>
      </c>
      <c r="V101" s="123" t="s">
        <v>7</v>
      </c>
      <c r="W101" s="121" t="s">
        <v>7</v>
      </c>
      <c r="X101" s="122">
        <f>IFERROR(X99/X100,0)</f>
        <v>16.28571429</v>
      </c>
      <c r="Y101" s="123" t="s">
        <v>7</v>
      </c>
      <c r="Z101" s="121">
        <f t="shared" ref="Z101:AA101" si="914">IFERROR(Z99/Z100,0)</f>
        <v>0</v>
      </c>
      <c r="AA101" s="121">
        <f t="shared" si="914"/>
        <v>20.90703297</v>
      </c>
      <c r="AB101" s="124">
        <f t="shared" si="78"/>
        <v>0</v>
      </c>
      <c r="AC101" s="121">
        <f t="shared" ref="AC101:AD101" si="915">IFERROR(AC99/AC100,0)</f>
        <v>0</v>
      </c>
      <c r="AD101" s="122">
        <f t="shared" si="915"/>
        <v>0</v>
      </c>
      <c r="AE101" s="124">
        <f t="shared" si="80"/>
        <v>0</v>
      </c>
      <c r="AF101" s="121">
        <f t="shared" ref="AF101:AG101" si="916">IFERROR(AF99/AF100,0)</f>
        <v>0</v>
      </c>
      <c r="AG101" s="122">
        <f t="shared" si="916"/>
        <v>0</v>
      </c>
      <c r="AH101" s="124">
        <f t="shared" si="82"/>
        <v>0</v>
      </c>
      <c r="AI101" s="121">
        <f t="shared" ref="AI101:AJ101" si="917">IFERROR(AI99/AI100,0)</f>
        <v>0</v>
      </c>
      <c r="AJ101" s="122">
        <f t="shared" si="917"/>
        <v>0</v>
      </c>
      <c r="AK101" s="124">
        <f t="shared" si="84"/>
        <v>0</v>
      </c>
      <c r="AL101" s="121">
        <f t="shared" ref="AL101:AM101" si="918">IFERROR(AL99/AL100,0)</f>
        <v>0</v>
      </c>
      <c r="AM101" s="122">
        <f t="shared" si="918"/>
        <v>0</v>
      </c>
      <c r="AN101" s="124">
        <f t="shared" si="653"/>
        <v>0</v>
      </c>
      <c r="AO101" s="121">
        <f t="shared" ref="AO101:AP101" si="919">IFERROR(AO99/AO100,0)</f>
        <v>0</v>
      </c>
      <c r="AP101" s="122">
        <f t="shared" si="919"/>
        <v>0</v>
      </c>
      <c r="AQ101" s="124">
        <f t="shared" si="655"/>
        <v>0</v>
      </c>
      <c r="AR101" s="121">
        <f t="shared" ref="AR101:AS101" si="920">IFERROR(AR99/AR100,0)</f>
        <v>0</v>
      </c>
      <c r="AS101" s="122">
        <f t="shared" si="920"/>
        <v>0</v>
      </c>
      <c r="AT101" s="124">
        <f t="shared" si="657"/>
        <v>0</v>
      </c>
      <c r="AU101" s="121">
        <f t="shared" ref="AU101:AV101" si="921">IFERROR(AU99/AU100,0)</f>
        <v>0</v>
      </c>
      <c r="AV101" s="122">
        <f t="shared" si="921"/>
        <v>0</v>
      </c>
      <c r="AW101" s="124">
        <f t="shared" si="659"/>
        <v>0</v>
      </c>
      <c r="AX101" s="121">
        <f t="shared" ref="AX101:AY101" si="922">IFERROR(AX99/AX100,0)</f>
        <v>0</v>
      </c>
      <c r="AY101" s="122">
        <f t="shared" si="922"/>
        <v>0</v>
      </c>
      <c r="AZ101" s="124">
        <f t="shared" si="661"/>
        <v>0</v>
      </c>
      <c r="BA101" s="121">
        <f t="shared" ref="BA101:BB101" si="923">IFERROR(BA99/BA100,0)</f>
        <v>0</v>
      </c>
      <c r="BB101" s="122">
        <f t="shared" si="923"/>
        <v>0</v>
      </c>
      <c r="BC101" s="124">
        <f t="shared" si="663"/>
        <v>0</v>
      </c>
      <c r="BD101" s="31"/>
      <c r="BE101" s="121">
        <f t="shared" ref="BE101:BF101" si="924">IFERROR(BE99/BE100,0)</f>
        <v>0</v>
      </c>
      <c r="BF101" s="122">
        <f t="shared" si="924"/>
        <v>0</v>
      </c>
      <c r="BG101" s="124">
        <f t="shared" si="685"/>
        <v>0</v>
      </c>
      <c r="BH101" s="121">
        <f t="shared" ref="BH101:BI101" si="925">IFERROR(BH99/BH100,0)</f>
        <v>0</v>
      </c>
      <c r="BI101" s="122">
        <f t="shared" si="925"/>
        <v>0</v>
      </c>
      <c r="BJ101" s="124">
        <f t="shared" si="687"/>
        <v>0</v>
      </c>
      <c r="BK101" s="121">
        <f t="shared" ref="BK101:BL101" si="926">IFERROR(BK99/BK100,0)</f>
        <v>0</v>
      </c>
      <c r="BL101" s="122">
        <f t="shared" si="926"/>
        <v>0</v>
      </c>
      <c r="BM101" s="124">
        <f t="shared" si="689"/>
        <v>0</v>
      </c>
    </row>
    <row r="102" ht="15.75" customHeight="1" outlineLevel="1">
      <c r="A102" s="2"/>
      <c r="B102" s="135" t="s">
        <v>43</v>
      </c>
      <c r="C102" s="107" t="s">
        <v>6</v>
      </c>
      <c r="D102" s="2"/>
      <c r="E102" s="108">
        <f t="shared" ref="E102:E103" si="927">K102+N102+Q102</f>
        <v>8939.17</v>
      </c>
      <c r="F102" s="109">
        <f t="shared" ref="F102:F103" si="928">U102+X102+AA102+AD102+AG102+AJ102+AM102+AP102+AS102+AV102+AY102+BB102</f>
        <v>3044.26</v>
      </c>
      <c r="G102" s="109">
        <f t="shared" ref="G102:G103" si="929">BF102+BI102+BL102</f>
        <v>0</v>
      </c>
      <c r="H102" s="110">
        <f t="shared" ref="H102:H103" si="930">SUM(E102:G102)</f>
        <v>11983.43</v>
      </c>
      <c r="I102" s="16"/>
      <c r="J102" s="108" t="s">
        <v>7</v>
      </c>
      <c r="K102" s="136">
        <v>7979.17</v>
      </c>
      <c r="L102" s="110" t="s">
        <v>7</v>
      </c>
      <c r="M102" s="108" t="s">
        <v>7</v>
      </c>
      <c r="N102" s="136">
        <v>960.0</v>
      </c>
      <c r="O102" s="110" t="s">
        <v>7</v>
      </c>
      <c r="P102" s="108" t="s">
        <v>7</v>
      </c>
      <c r="Q102" s="109"/>
      <c r="R102" s="110" t="s">
        <v>7</v>
      </c>
      <c r="S102" s="2"/>
      <c r="T102" s="108" t="s">
        <v>7</v>
      </c>
      <c r="U102" s="136">
        <v>420.0</v>
      </c>
      <c r="V102" s="110" t="s">
        <v>7</v>
      </c>
      <c r="W102" s="108" t="s">
        <v>7</v>
      </c>
      <c r="X102" s="136">
        <v>944.26</v>
      </c>
      <c r="Y102" s="110" t="s">
        <v>7</v>
      </c>
      <c r="Z102" s="108"/>
      <c r="AA102" s="137">
        <v>1680.0</v>
      </c>
      <c r="AB102" s="111">
        <f t="shared" si="78"/>
        <v>0</v>
      </c>
      <c r="AC102" s="108"/>
      <c r="AD102" s="109"/>
      <c r="AE102" s="111">
        <f t="shared" si="80"/>
        <v>0</v>
      </c>
      <c r="AF102" s="108"/>
      <c r="AG102" s="109"/>
      <c r="AH102" s="111">
        <f t="shared" si="82"/>
        <v>0</v>
      </c>
      <c r="AI102" s="108"/>
      <c r="AJ102" s="109"/>
      <c r="AK102" s="111">
        <f t="shared" si="84"/>
        <v>0</v>
      </c>
      <c r="AL102" s="108"/>
      <c r="AM102" s="109"/>
      <c r="AN102" s="111">
        <f t="shared" si="653"/>
        <v>0</v>
      </c>
      <c r="AO102" s="108"/>
      <c r="AP102" s="109"/>
      <c r="AQ102" s="111">
        <f t="shared" si="655"/>
        <v>0</v>
      </c>
      <c r="AR102" s="108"/>
      <c r="AS102" s="109"/>
      <c r="AT102" s="111">
        <f t="shared" si="657"/>
        <v>0</v>
      </c>
      <c r="AU102" s="108"/>
      <c r="AV102" s="109"/>
      <c r="AW102" s="111">
        <f t="shared" si="659"/>
        <v>0</v>
      </c>
      <c r="AX102" s="108"/>
      <c r="AY102" s="109"/>
      <c r="AZ102" s="111">
        <f t="shared" si="661"/>
        <v>0</v>
      </c>
      <c r="BA102" s="108"/>
      <c r="BB102" s="109"/>
      <c r="BC102" s="111">
        <f t="shared" si="663"/>
        <v>0</v>
      </c>
      <c r="BD102" s="16"/>
      <c r="BE102" s="108"/>
      <c r="BF102" s="109"/>
      <c r="BG102" s="111">
        <f t="shared" si="685"/>
        <v>0</v>
      </c>
      <c r="BH102" s="108"/>
      <c r="BI102" s="109"/>
      <c r="BJ102" s="111">
        <f t="shared" si="687"/>
        <v>0</v>
      </c>
      <c r="BK102" s="108"/>
      <c r="BL102" s="109"/>
      <c r="BM102" s="111">
        <f t="shared" si="689"/>
        <v>0</v>
      </c>
    </row>
    <row r="103" ht="15.75" customHeight="1" outlineLevel="1">
      <c r="A103" s="2"/>
      <c r="B103" s="20"/>
      <c r="C103" s="112" t="s">
        <v>8</v>
      </c>
      <c r="D103" s="2"/>
      <c r="E103" s="113">
        <f t="shared" si="927"/>
        <v>316</v>
      </c>
      <c r="F103" s="114">
        <f t="shared" si="928"/>
        <v>125</v>
      </c>
      <c r="G103" s="114">
        <f t="shared" si="929"/>
        <v>0</v>
      </c>
      <c r="H103" s="115">
        <f t="shared" si="930"/>
        <v>441</v>
      </c>
      <c r="I103" s="16"/>
      <c r="J103" s="113" t="s">
        <v>7</v>
      </c>
      <c r="K103" s="116">
        <v>277.0</v>
      </c>
      <c r="L103" s="115" t="s">
        <v>7</v>
      </c>
      <c r="M103" s="113" t="s">
        <v>7</v>
      </c>
      <c r="N103" s="116">
        <v>39.0</v>
      </c>
      <c r="O103" s="115" t="s">
        <v>7</v>
      </c>
      <c r="P103" s="113" t="s">
        <v>7</v>
      </c>
      <c r="Q103" s="114"/>
      <c r="R103" s="115" t="s">
        <v>7</v>
      </c>
      <c r="S103" s="2"/>
      <c r="T103" s="113" t="s">
        <v>7</v>
      </c>
      <c r="U103" s="116">
        <v>23.0</v>
      </c>
      <c r="V103" s="115" t="s">
        <v>7</v>
      </c>
      <c r="W103" s="113" t="s">
        <v>7</v>
      </c>
      <c r="X103" s="116">
        <v>38.0</v>
      </c>
      <c r="Y103" s="115" t="s">
        <v>7</v>
      </c>
      <c r="Z103" s="113"/>
      <c r="AA103" s="138">
        <v>64.0</v>
      </c>
      <c r="AB103" s="119">
        <f t="shared" si="78"/>
        <v>0</v>
      </c>
      <c r="AC103" s="113"/>
      <c r="AD103" s="114"/>
      <c r="AE103" s="119">
        <f t="shared" si="80"/>
        <v>0</v>
      </c>
      <c r="AF103" s="113"/>
      <c r="AG103" s="114"/>
      <c r="AH103" s="119">
        <f t="shared" si="82"/>
        <v>0</v>
      </c>
      <c r="AI103" s="113"/>
      <c r="AJ103" s="114"/>
      <c r="AK103" s="119">
        <f t="shared" si="84"/>
        <v>0</v>
      </c>
      <c r="AL103" s="113"/>
      <c r="AM103" s="114"/>
      <c r="AN103" s="119">
        <f t="shared" si="653"/>
        <v>0</v>
      </c>
      <c r="AO103" s="113"/>
      <c r="AP103" s="114"/>
      <c r="AQ103" s="119">
        <f t="shared" si="655"/>
        <v>0</v>
      </c>
      <c r="AR103" s="113"/>
      <c r="AS103" s="114"/>
      <c r="AT103" s="119">
        <f t="shared" si="657"/>
        <v>0</v>
      </c>
      <c r="AU103" s="113"/>
      <c r="AV103" s="114"/>
      <c r="AW103" s="119">
        <f t="shared" si="659"/>
        <v>0</v>
      </c>
      <c r="AX103" s="113"/>
      <c r="AY103" s="114"/>
      <c r="AZ103" s="119">
        <f t="shared" si="661"/>
        <v>0</v>
      </c>
      <c r="BA103" s="113"/>
      <c r="BB103" s="114"/>
      <c r="BC103" s="119">
        <f t="shared" si="663"/>
        <v>0</v>
      </c>
      <c r="BD103" s="16"/>
      <c r="BE103" s="113"/>
      <c r="BF103" s="114"/>
      <c r="BG103" s="119">
        <f t="shared" si="685"/>
        <v>0</v>
      </c>
      <c r="BH103" s="113"/>
      <c r="BI103" s="114"/>
      <c r="BJ103" s="119">
        <f t="shared" si="687"/>
        <v>0</v>
      </c>
      <c r="BK103" s="113"/>
      <c r="BL103" s="114"/>
      <c r="BM103" s="119">
        <f t="shared" si="689"/>
        <v>0</v>
      </c>
    </row>
    <row r="104" ht="15.75" customHeight="1" outlineLevel="1">
      <c r="A104" s="2"/>
      <c r="B104" s="26"/>
      <c r="C104" s="120" t="s">
        <v>9</v>
      </c>
      <c r="D104" s="2"/>
      <c r="E104" s="121">
        <f t="shared" ref="E104:H104" si="931">IFERROR(E102/E103,0)</f>
        <v>28.28851266</v>
      </c>
      <c r="F104" s="122">
        <f t="shared" si="931"/>
        <v>24.35408</v>
      </c>
      <c r="G104" s="122">
        <f t="shared" si="931"/>
        <v>0</v>
      </c>
      <c r="H104" s="123">
        <f t="shared" si="931"/>
        <v>27.17331066</v>
      </c>
      <c r="I104" s="31"/>
      <c r="J104" s="121" t="s">
        <v>7</v>
      </c>
      <c r="K104" s="122">
        <f>IFERROR(K102/K103,0)</f>
        <v>28.80566787</v>
      </c>
      <c r="L104" s="123" t="s">
        <v>7</v>
      </c>
      <c r="M104" s="121" t="s">
        <v>7</v>
      </c>
      <c r="N104" s="122">
        <f>IFERROR(N102/N103,0)</f>
        <v>24.61538462</v>
      </c>
      <c r="O104" s="123" t="s">
        <v>7</v>
      </c>
      <c r="P104" s="121" t="s">
        <v>7</v>
      </c>
      <c r="Q104" s="122">
        <f>IFERROR(Q102/Q103,0)</f>
        <v>0</v>
      </c>
      <c r="R104" s="123" t="s">
        <v>7</v>
      </c>
      <c r="S104" s="2"/>
      <c r="T104" s="121" t="s">
        <v>7</v>
      </c>
      <c r="U104" s="122">
        <f>IFERROR(U102/U103,0)</f>
        <v>18.26086957</v>
      </c>
      <c r="V104" s="123" t="s">
        <v>7</v>
      </c>
      <c r="W104" s="121" t="s">
        <v>7</v>
      </c>
      <c r="X104" s="122">
        <f>IFERROR(X102/X103,0)</f>
        <v>24.84894737</v>
      </c>
      <c r="Y104" s="123" t="s">
        <v>7</v>
      </c>
      <c r="Z104" s="121">
        <f t="shared" ref="Z104:AA104" si="932">IFERROR(Z102/Z103,0)</f>
        <v>0</v>
      </c>
      <c r="AA104" s="121">
        <f t="shared" si="932"/>
        <v>26.25</v>
      </c>
      <c r="AB104" s="124">
        <f t="shared" si="78"/>
        <v>0</v>
      </c>
      <c r="AC104" s="121">
        <f t="shared" ref="AC104:AD104" si="933">IFERROR(AC102/AC103,0)</f>
        <v>0</v>
      </c>
      <c r="AD104" s="122">
        <f t="shared" si="933"/>
        <v>0</v>
      </c>
      <c r="AE104" s="124">
        <f t="shared" si="80"/>
        <v>0</v>
      </c>
      <c r="AF104" s="121">
        <f t="shared" ref="AF104:AG104" si="934">IFERROR(AF102/AF103,0)</f>
        <v>0</v>
      </c>
      <c r="AG104" s="122">
        <f t="shared" si="934"/>
        <v>0</v>
      </c>
      <c r="AH104" s="124">
        <f t="shared" si="82"/>
        <v>0</v>
      </c>
      <c r="AI104" s="121">
        <f t="shared" ref="AI104:AJ104" si="935">IFERROR(AI102/AI103,0)</f>
        <v>0</v>
      </c>
      <c r="AJ104" s="122">
        <f t="shared" si="935"/>
        <v>0</v>
      </c>
      <c r="AK104" s="124">
        <f t="shared" si="84"/>
        <v>0</v>
      </c>
      <c r="AL104" s="121">
        <f t="shared" ref="AL104:AM104" si="936">IFERROR(AL102/AL103,0)</f>
        <v>0</v>
      </c>
      <c r="AM104" s="122">
        <f t="shared" si="936"/>
        <v>0</v>
      </c>
      <c r="AN104" s="124">
        <f t="shared" si="653"/>
        <v>0</v>
      </c>
      <c r="AO104" s="121">
        <f t="shared" ref="AO104:AP104" si="937">IFERROR(AO102/AO103,0)</f>
        <v>0</v>
      </c>
      <c r="AP104" s="122">
        <f t="shared" si="937"/>
        <v>0</v>
      </c>
      <c r="AQ104" s="124">
        <f t="shared" si="655"/>
        <v>0</v>
      </c>
      <c r="AR104" s="121">
        <f t="shared" ref="AR104:AS104" si="938">IFERROR(AR102/AR103,0)</f>
        <v>0</v>
      </c>
      <c r="AS104" s="122">
        <f t="shared" si="938"/>
        <v>0</v>
      </c>
      <c r="AT104" s="124">
        <f t="shared" si="657"/>
        <v>0</v>
      </c>
      <c r="AU104" s="121">
        <f t="shared" ref="AU104:AV104" si="939">IFERROR(AU102/AU103,0)</f>
        <v>0</v>
      </c>
      <c r="AV104" s="122">
        <f t="shared" si="939"/>
        <v>0</v>
      </c>
      <c r="AW104" s="124">
        <f t="shared" si="659"/>
        <v>0</v>
      </c>
      <c r="AX104" s="121">
        <f t="shared" ref="AX104:AY104" si="940">IFERROR(AX102/AX103,0)</f>
        <v>0</v>
      </c>
      <c r="AY104" s="122">
        <f t="shared" si="940"/>
        <v>0</v>
      </c>
      <c r="AZ104" s="124">
        <f t="shared" si="661"/>
        <v>0</v>
      </c>
      <c r="BA104" s="121">
        <f t="shared" ref="BA104:BB104" si="941">IFERROR(BA102/BA103,0)</f>
        <v>0</v>
      </c>
      <c r="BB104" s="122">
        <f t="shared" si="941"/>
        <v>0</v>
      </c>
      <c r="BC104" s="124">
        <f t="shared" si="663"/>
        <v>0</v>
      </c>
      <c r="BD104" s="31"/>
      <c r="BE104" s="121">
        <f t="shared" ref="BE104:BF104" si="942">IFERROR(BE102/BE103,0)</f>
        <v>0</v>
      </c>
      <c r="BF104" s="122">
        <f t="shared" si="942"/>
        <v>0</v>
      </c>
      <c r="BG104" s="124">
        <f t="shared" si="685"/>
        <v>0</v>
      </c>
      <c r="BH104" s="121">
        <f t="shared" ref="BH104:BI104" si="943">IFERROR(BH102/BH103,0)</f>
        <v>0</v>
      </c>
      <c r="BI104" s="122">
        <f t="shared" si="943"/>
        <v>0</v>
      </c>
      <c r="BJ104" s="124">
        <f t="shared" si="687"/>
        <v>0</v>
      </c>
      <c r="BK104" s="121">
        <f t="shared" ref="BK104:BL104" si="944">IFERROR(BK102/BK103,0)</f>
        <v>0</v>
      </c>
      <c r="BL104" s="122">
        <f t="shared" si="944"/>
        <v>0</v>
      </c>
      <c r="BM104" s="124">
        <f t="shared" si="689"/>
        <v>0</v>
      </c>
    </row>
    <row r="105" ht="15.75" customHeight="1" outlineLevel="1">
      <c r="A105" s="2"/>
      <c r="B105" s="135" t="s">
        <v>44</v>
      </c>
      <c r="C105" s="107" t="s">
        <v>6</v>
      </c>
      <c r="D105" s="2"/>
      <c r="E105" s="108">
        <f t="shared" ref="E105:E106" si="945">K105+N105+Q105</f>
        <v>29023.28</v>
      </c>
      <c r="F105" s="109">
        <f t="shared" ref="F105:F106" si="946">U105+X105+AA105+AD105+AG105+AJ105+AM105+AP105+AS105+AV105+AY105+BB105</f>
        <v>11072.56</v>
      </c>
      <c r="G105" s="109">
        <f t="shared" ref="G105:G106" si="947">BF105+BI105+BL105</f>
        <v>0</v>
      </c>
      <c r="H105" s="110">
        <f t="shared" ref="H105:H106" si="948">SUM(E105:G105)</f>
        <v>40095.84</v>
      </c>
      <c r="I105" s="16"/>
      <c r="J105" s="108" t="s">
        <v>7</v>
      </c>
      <c r="K105" s="136">
        <v>8294.92</v>
      </c>
      <c r="L105" s="110" t="s">
        <v>7</v>
      </c>
      <c r="M105" s="108" t="s">
        <v>7</v>
      </c>
      <c r="N105" s="136">
        <v>14326.15</v>
      </c>
      <c r="O105" s="110" t="s">
        <v>7</v>
      </c>
      <c r="P105" s="108" t="s">
        <v>7</v>
      </c>
      <c r="Q105" s="136">
        <v>6402.21</v>
      </c>
      <c r="R105" s="110" t="s">
        <v>7</v>
      </c>
      <c r="S105" s="2"/>
      <c r="T105" s="108" t="s">
        <v>7</v>
      </c>
      <c r="U105" s="136">
        <v>4975.46</v>
      </c>
      <c r="V105" s="110" t="s">
        <v>7</v>
      </c>
      <c r="W105" s="108" t="s">
        <v>7</v>
      </c>
      <c r="X105" s="136">
        <v>3897.1</v>
      </c>
      <c r="Y105" s="110" t="s">
        <v>7</v>
      </c>
      <c r="Z105" s="108"/>
      <c r="AA105" s="137">
        <v>2200.0</v>
      </c>
      <c r="AB105" s="111">
        <f t="shared" si="78"/>
        <v>0</v>
      </c>
      <c r="AC105" s="108"/>
      <c r="AD105" s="109"/>
      <c r="AE105" s="111">
        <f t="shared" si="80"/>
        <v>0</v>
      </c>
      <c r="AF105" s="108"/>
      <c r="AG105" s="109"/>
      <c r="AH105" s="111">
        <f t="shared" si="82"/>
        <v>0</v>
      </c>
      <c r="AI105" s="108"/>
      <c r="AJ105" s="109"/>
      <c r="AK105" s="111">
        <f t="shared" si="84"/>
        <v>0</v>
      </c>
      <c r="AL105" s="108"/>
      <c r="AM105" s="109"/>
      <c r="AN105" s="111">
        <f t="shared" si="653"/>
        <v>0</v>
      </c>
      <c r="AO105" s="108"/>
      <c r="AP105" s="109"/>
      <c r="AQ105" s="111">
        <f t="shared" si="655"/>
        <v>0</v>
      </c>
      <c r="AR105" s="108"/>
      <c r="AS105" s="109"/>
      <c r="AT105" s="111">
        <f t="shared" si="657"/>
        <v>0</v>
      </c>
      <c r="AU105" s="108"/>
      <c r="AV105" s="109"/>
      <c r="AW105" s="111">
        <f t="shared" si="659"/>
        <v>0</v>
      </c>
      <c r="AX105" s="108"/>
      <c r="AY105" s="109"/>
      <c r="AZ105" s="111">
        <f t="shared" si="661"/>
        <v>0</v>
      </c>
      <c r="BA105" s="108"/>
      <c r="BB105" s="109"/>
      <c r="BC105" s="111">
        <f t="shared" si="663"/>
        <v>0</v>
      </c>
      <c r="BD105" s="16"/>
      <c r="BE105" s="108"/>
      <c r="BF105" s="109"/>
      <c r="BG105" s="111">
        <f t="shared" si="685"/>
        <v>0</v>
      </c>
      <c r="BH105" s="108"/>
      <c r="BI105" s="109"/>
      <c r="BJ105" s="111">
        <f t="shared" si="687"/>
        <v>0</v>
      </c>
      <c r="BK105" s="108"/>
      <c r="BL105" s="109"/>
      <c r="BM105" s="111">
        <f t="shared" si="689"/>
        <v>0</v>
      </c>
    </row>
    <row r="106" ht="15.75" customHeight="1" outlineLevel="1">
      <c r="A106" s="2"/>
      <c r="B106" s="20"/>
      <c r="C106" s="112" t="s">
        <v>8</v>
      </c>
      <c r="D106" s="2"/>
      <c r="E106" s="113">
        <f t="shared" si="945"/>
        <v>565</v>
      </c>
      <c r="F106" s="114">
        <f t="shared" si="946"/>
        <v>212</v>
      </c>
      <c r="G106" s="114">
        <f t="shared" si="947"/>
        <v>0</v>
      </c>
      <c r="H106" s="115">
        <f t="shared" si="948"/>
        <v>777</v>
      </c>
      <c r="I106" s="16"/>
      <c r="J106" s="113" t="s">
        <v>7</v>
      </c>
      <c r="K106" s="116">
        <v>176.0</v>
      </c>
      <c r="L106" s="115" t="s">
        <v>7</v>
      </c>
      <c r="M106" s="113" t="s">
        <v>7</v>
      </c>
      <c r="N106" s="116">
        <v>231.0</v>
      </c>
      <c r="O106" s="115" t="s">
        <v>7</v>
      </c>
      <c r="P106" s="113" t="s">
        <v>7</v>
      </c>
      <c r="Q106" s="116">
        <v>158.0</v>
      </c>
      <c r="R106" s="115" t="s">
        <v>7</v>
      </c>
      <c r="S106" s="2"/>
      <c r="T106" s="113" t="s">
        <v>7</v>
      </c>
      <c r="U106" s="116">
        <v>79.0</v>
      </c>
      <c r="V106" s="115" t="s">
        <v>7</v>
      </c>
      <c r="W106" s="113" t="s">
        <v>7</v>
      </c>
      <c r="X106" s="116">
        <v>68.0</v>
      </c>
      <c r="Y106" s="115" t="s">
        <v>7</v>
      </c>
      <c r="Z106" s="113"/>
      <c r="AA106" s="138">
        <v>65.0</v>
      </c>
      <c r="AB106" s="119">
        <f t="shared" si="78"/>
        <v>0</v>
      </c>
      <c r="AC106" s="113"/>
      <c r="AD106" s="114"/>
      <c r="AE106" s="119">
        <f t="shared" si="80"/>
        <v>0</v>
      </c>
      <c r="AF106" s="113"/>
      <c r="AG106" s="114"/>
      <c r="AH106" s="119">
        <f t="shared" si="82"/>
        <v>0</v>
      </c>
      <c r="AI106" s="113"/>
      <c r="AJ106" s="114"/>
      <c r="AK106" s="119">
        <f t="shared" si="84"/>
        <v>0</v>
      </c>
      <c r="AL106" s="113"/>
      <c r="AM106" s="114"/>
      <c r="AN106" s="119">
        <f t="shared" si="653"/>
        <v>0</v>
      </c>
      <c r="AO106" s="113"/>
      <c r="AP106" s="114"/>
      <c r="AQ106" s="119">
        <f t="shared" si="655"/>
        <v>0</v>
      </c>
      <c r="AR106" s="113"/>
      <c r="AS106" s="114"/>
      <c r="AT106" s="119">
        <f t="shared" si="657"/>
        <v>0</v>
      </c>
      <c r="AU106" s="113"/>
      <c r="AV106" s="114"/>
      <c r="AW106" s="119">
        <f t="shared" si="659"/>
        <v>0</v>
      </c>
      <c r="AX106" s="113"/>
      <c r="AY106" s="114"/>
      <c r="AZ106" s="119">
        <f t="shared" si="661"/>
        <v>0</v>
      </c>
      <c r="BA106" s="113"/>
      <c r="BB106" s="114"/>
      <c r="BC106" s="119">
        <f t="shared" si="663"/>
        <v>0</v>
      </c>
      <c r="BD106" s="16"/>
      <c r="BE106" s="113"/>
      <c r="BF106" s="114"/>
      <c r="BG106" s="119">
        <f t="shared" si="685"/>
        <v>0</v>
      </c>
      <c r="BH106" s="113"/>
      <c r="BI106" s="114"/>
      <c r="BJ106" s="119">
        <f t="shared" si="687"/>
        <v>0</v>
      </c>
      <c r="BK106" s="113"/>
      <c r="BL106" s="114"/>
      <c r="BM106" s="119">
        <f t="shared" si="689"/>
        <v>0</v>
      </c>
    </row>
    <row r="107" ht="15.75" customHeight="1" outlineLevel="1">
      <c r="A107" s="2"/>
      <c r="B107" s="26"/>
      <c r="C107" s="120" t="s">
        <v>9</v>
      </c>
      <c r="D107" s="2"/>
      <c r="E107" s="121">
        <f t="shared" ref="E107:H107" si="949">IFERROR(E105/E106,0)</f>
        <v>51.36863717</v>
      </c>
      <c r="F107" s="122">
        <f t="shared" si="949"/>
        <v>52.2290566</v>
      </c>
      <c r="G107" s="122">
        <f t="shared" si="949"/>
        <v>0</v>
      </c>
      <c r="H107" s="123">
        <f t="shared" si="949"/>
        <v>51.60339768</v>
      </c>
      <c r="I107" s="31"/>
      <c r="J107" s="121" t="s">
        <v>7</v>
      </c>
      <c r="K107" s="122">
        <f>IFERROR(K105/K106,0)</f>
        <v>47.13022727</v>
      </c>
      <c r="L107" s="123" t="s">
        <v>7</v>
      </c>
      <c r="M107" s="121" t="s">
        <v>7</v>
      </c>
      <c r="N107" s="122">
        <f>IFERROR(N105/N106,0)</f>
        <v>62.01796537</v>
      </c>
      <c r="O107" s="123" t="s">
        <v>7</v>
      </c>
      <c r="P107" s="121" t="s">
        <v>7</v>
      </c>
      <c r="Q107" s="122">
        <f>IFERROR(Q105/Q106,0)</f>
        <v>40.52031646</v>
      </c>
      <c r="R107" s="123" t="s">
        <v>7</v>
      </c>
      <c r="S107" s="2"/>
      <c r="T107" s="121" t="s">
        <v>7</v>
      </c>
      <c r="U107" s="122">
        <f>IFERROR(U105/U106,0)</f>
        <v>62.98050633</v>
      </c>
      <c r="V107" s="123" t="s">
        <v>7</v>
      </c>
      <c r="W107" s="121" t="s">
        <v>7</v>
      </c>
      <c r="X107" s="122">
        <f>IFERROR(X105/X106,0)</f>
        <v>57.31029412</v>
      </c>
      <c r="Y107" s="123" t="s">
        <v>7</v>
      </c>
      <c r="Z107" s="121">
        <f t="shared" ref="Z107:AA107" si="950">IFERROR(Z105/Z106,0)</f>
        <v>0</v>
      </c>
      <c r="AA107" s="121">
        <f t="shared" si="950"/>
        <v>33.84615385</v>
      </c>
      <c r="AB107" s="124">
        <f t="shared" si="78"/>
        <v>0</v>
      </c>
      <c r="AC107" s="121">
        <f t="shared" ref="AC107:AD107" si="951">IFERROR(AC105/AC106,0)</f>
        <v>0</v>
      </c>
      <c r="AD107" s="122">
        <f t="shared" si="951"/>
        <v>0</v>
      </c>
      <c r="AE107" s="124">
        <f t="shared" si="80"/>
        <v>0</v>
      </c>
      <c r="AF107" s="121">
        <f t="shared" ref="AF107:AG107" si="952">IFERROR(AF105/AF106,0)</f>
        <v>0</v>
      </c>
      <c r="AG107" s="122">
        <f t="shared" si="952"/>
        <v>0</v>
      </c>
      <c r="AH107" s="124">
        <f t="shared" si="82"/>
        <v>0</v>
      </c>
      <c r="AI107" s="121">
        <f t="shared" ref="AI107:AJ107" si="953">IFERROR(AI105/AI106,0)</f>
        <v>0</v>
      </c>
      <c r="AJ107" s="122">
        <f t="shared" si="953"/>
        <v>0</v>
      </c>
      <c r="AK107" s="124">
        <f t="shared" si="84"/>
        <v>0</v>
      </c>
      <c r="AL107" s="121">
        <f t="shared" ref="AL107:AM107" si="954">IFERROR(AL105/AL106,0)</f>
        <v>0</v>
      </c>
      <c r="AM107" s="122">
        <f t="shared" si="954"/>
        <v>0</v>
      </c>
      <c r="AN107" s="124">
        <f t="shared" si="653"/>
        <v>0</v>
      </c>
      <c r="AO107" s="121">
        <f t="shared" ref="AO107:AP107" si="955">IFERROR(AO105/AO106,0)</f>
        <v>0</v>
      </c>
      <c r="AP107" s="122">
        <f t="shared" si="955"/>
        <v>0</v>
      </c>
      <c r="AQ107" s="124">
        <f t="shared" si="655"/>
        <v>0</v>
      </c>
      <c r="AR107" s="121">
        <f t="shared" ref="AR107:AS107" si="956">IFERROR(AR105/AR106,0)</f>
        <v>0</v>
      </c>
      <c r="AS107" s="122">
        <f t="shared" si="956"/>
        <v>0</v>
      </c>
      <c r="AT107" s="124">
        <f t="shared" si="657"/>
        <v>0</v>
      </c>
      <c r="AU107" s="121">
        <f t="shared" ref="AU107:AV107" si="957">IFERROR(AU105/AU106,0)</f>
        <v>0</v>
      </c>
      <c r="AV107" s="122">
        <f t="shared" si="957"/>
        <v>0</v>
      </c>
      <c r="AW107" s="124">
        <f t="shared" si="659"/>
        <v>0</v>
      </c>
      <c r="AX107" s="121">
        <f t="shared" ref="AX107:AY107" si="958">IFERROR(AX105/AX106,0)</f>
        <v>0</v>
      </c>
      <c r="AY107" s="122">
        <f t="shared" si="958"/>
        <v>0</v>
      </c>
      <c r="AZ107" s="124">
        <f t="shared" si="661"/>
        <v>0</v>
      </c>
      <c r="BA107" s="121">
        <f t="shared" ref="BA107:BB107" si="959">IFERROR(BA105/BA106,0)</f>
        <v>0</v>
      </c>
      <c r="BB107" s="122">
        <f t="shared" si="959"/>
        <v>0</v>
      </c>
      <c r="BC107" s="124">
        <f t="shared" si="663"/>
        <v>0</v>
      </c>
      <c r="BD107" s="31"/>
      <c r="BE107" s="121">
        <f t="shared" ref="BE107:BF107" si="960">IFERROR(BE105/BE106,0)</f>
        <v>0</v>
      </c>
      <c r="BF107" s="122">
        <f t="shared" si="960"/>
        <v>0</v>
      </c>
      <c r="BG107" s="124">
        <f t="shared" si="685"/>
        <v>0</v>
      </c>
      <c r="BH107" s="121">
        <f t="shared" ref="BH107:BI107" si="961">IFERROR(BH105/BH106,0)</f>
        <v>0</v>
      </c>
      <c r="BI107" s="122">
        <f t="shared" si="961"/>
        <v>0</v>
      </c>
      <c r="BJ107" s="124">
        <f t="shared" si="687"/>
        <v>0</v>
      </c>
      <c r="BK107" s="121">
        <f t="shared" ref="BK107:BL107" si="962">IFERROR(BK105/BK106,0)</f>
        <v>0</v>
      </c>
      <c r="BL107" s="122">
        <f t="shared" si="962"/>
        <v>0</v>
      </c>
      <c r="BM107" s="124">
        <f t="shared" si="689"/>
        <v>0</v>
      </c>
    </row>
    <row r="108" ht="15.75" customHeight="1" outlineLevel="1">
      <c r="A108" s="2"/>
      <c r="B108" s="135" t="s">
        <v>45</v>
      </c>
      <c r="C108" s="107" t="s">
        <v>6</v>
      </c>
      <c r="D108" s="2"/>
      <c r="E108" s="108">
        <f t="shared" ref="E108:E109" si="963">K108+N108+Q108</f>
        <v>1410.14</v>
      </c>
      <c r="F108" s="109">
        <f t="shared" ref="F108:F109" si="964">U108+X108+AA108+AD108+AG108+AJ108+AM108+AP108+AS108+AV108+AY108+BB108</f>
        <v>473</v>
      </c>
      <c r="G108" s="109">
        <f t="shared" ref="G108:G109" si="965">BF108+BI108+BL108</f>
        <v>0</v>
      </c>
      <c r="H108" s="110">
        <f t="shared" ref="H108:H109" si="966">SUM(E108:G108)</f>
        <v>1883.14</v>
      </c>
      <c r="I108" s="16"/>
      <c r="J108" s="108" t="s">
        <v>7</v>
      </c>
      <c r="K108" s="136"/>
      <c r="L108" s="110" t="s">
        <v>7</v>
      </c>
      <c r="M108" s="108" t="s">
        <v>7</v>
      </c>
      <c r="N108" s="136">
        <v>960.14</v>
      </c>
      <c r="O108" s="110" t="s">
        <v>7</v>
      </c>
      <c r="P108" s="108" t="s">
        <v>7</v>
      </c>
      <c r="Q108" s="136">
        <v>450.0</v>
      </c>
      <c r="R108" s="110" t="s">
        <v>7</v>
      </c>
      <c r="S108" s="2"/>
      <c r="T108" s="108" t="s">
        <v>7</v>
      </c>
      <c r="U108" s="136">
        <v>240.0</v>
      </c>
      <c r="V108" s="110" t="s">
        <v>7</v>
      </c>
      <c r="W108" s="108" t="s">
        <v>7</v>
      </c>
      <c r="X108" s="109"/>
      <c r="Y108" s="110" t="s">
        <v>7</v>
      </c>
      <c r="Z108" s="108"/>
      <c r="AA108" s="137">
        <v>233.0</v>
      </c>
      <c r="AB108" s="111">
        <f t="shared" si="78"/>
        <v>0</v>
      </c>
      <c r="AC108" s="108"/>
      <c r="AD108" s="109"/>
      <c r="AE108" s="111">
        <f t="shared" si="80"/>
        <v>0</v>
      </c>
      <c r="AF108" s="108"/>
      <c r="AG108" s="109"/>
      <c r="AH108" s="111">
        <f t="shared" si="82"/>
        <v>0</v>
      </c>
      <c r="AI108" s="108"/>
      <c r="AJ108" s="109"/>
      <c r="AK108" s="111">
        <f t="shared" si="84"/>
        <v>0</v>
      </c>
      <c r="AL108" s="108"/>
      <c r="AM108" s="109"/>
      <c r="AN108" s="111">
        <f t="shared" si="653"/>
        <v>0</v>
      </c>
      <c r="AO108" s="108"/>
      <c r="AP108" s="109"/>
      <c r="AQ108" s="111">
        <f t="shared" si="655"/>
        <v>0</v>
      </c>
      <c r="AR108" s="108"/>
      <c r="AS108" s="109"/>
      <c r="AT108" s="111">
        <f t="shared" si="657"/>
        <v>0</v>
      </c>
      <c r="AU108" s="108"/>
      <c r="AV108" s="109"/>
      <c r="AW108" s="111">
        <f t="shared" si="659"/>
        <v>0</v>
      </c>
      <c r="AX108" s="108"/>
      <c r="AY108" s="109"/>
      <c r="AZ108" s="111">
        <f t="shared" si="661"/>
        <v>0</v>
      </c>
      <c r="BA108" s="108"/>
      <c r="BB108" s="109"/>
      <c r="BC108" s="111">
        <f t="shared" si="663"/>
        <v>0</v>
      </c>
      <c r="BD108" s="16"/>
      <c r="BE108" s="108"/>
      <c r="BF108" s="109"/>
      <c r="BG108" s="111">
        <f t="shared" si="685"/>
        <v>0</v>
      </c>
      <c r="BH108" s="108"/>
      <c r="BI108" s="109"/>
      <c r="BJ108" s="111">
        <f t="shared" si="687"/>
        <v>0</v>
      </c>
      <c r="BK108" s="108"/>
      <c r="BL108" s="109"/>
      <c r="BM108" s="111">
        <f t="shared" si="689"/>
        <v>0</v>
      </c>
    </row>
    <row r="109" ht="15.75" customHeight="1" outlineLevel="1">
      <c r="A109" s="2"/>
      <c r="B109" s="20"/>
      <c r="C109" s="112" t="s">
        <v>8</v>
      </c>
      <c r="D109" s="2"/>
      <c r="E109" s="113">
        <f t="shared" si="963"/>
        <v>54</v>
      </c>
      <c r="F109" s="114">
        <f t="shared" si="964"/>
        <v>17</v>
      </c>
      <c r="G109" s="114">
        <f t="shared" si="965"/>
        <v>0</v>
      </c>
      <c r="H109" s="115">
        <f t="shared" si="966"/>
        <v>71</v>
      </c>
      <c r="I109" s="16"/>
      <c r="J109" s="113" t="s">
        <v>7</v>
      </c>
      <c r="K109" s="116"/>
      <c r="L109" s="115" t="s">
        <v>7</v>
      </c>
      <c r="M109" s="113" t="s">
        <v>7</v>
      </c>
      <c r="N109" s="116">
        <v>28.0</v>
      </c>
      <c r="O109" s="115" t="s">
        <v>7</v>
      </c>
      <c r="P109" s="113" t="s">
        <v>7</v>
      </c>
      <c r="Q109" s="116">
        <v>26.0</v>
      </c>
      <c r="R109" s="115" t="s">
        <v>7</v>
      </c>
      <c r="S109" s="2"/>
      <c r="T109" s="113" t="s">
        <v>7</v>
      </c>
      <c r="U109" s="116">
        <v>12.0</v>
      </c>
      <c r="V109" s="115" t="s">
        <v>7</v>
      </c>
      <c r="W109" s="113" t="s">
        <v>7</v>
      </c>
      <c r="X109" s="114"/>
      <c r="Y109" s="115" t="s">
        <v>7</v>
      </c>
      <c r="Z109" s="113"/>
      <c r="AA109" s="138">
        <v>5.0</v>
      </c>
      <c r="AB109" s="119">
        <f t="shared" si="78"/>
        <v>0</v>
      </c>
      <c r="AC109" s="113"/>
      <c r="AD109" s="114"/>
      <c r="AE109" s="119">
        <f t="shared" si="80"/>
        <v>0</v>
      </c>
      <c r="AF109" s="113"/>
      <c r="AG109" s="114"/>
      <c r="AH109" s="119">
        <f t="shared" si="82"/>
        <v>0</v>
      </c>
      <c r="AI109" s="113"/>
      <c r="AJ109" s="114"/>
      <c r="AK109" s="119">
        <f t="shared" si="84"/>
        <v>0</v>
      </c>
      <c r="AL109" s="113"/>
      <c r="AM109" s="114"/>
      <c r="AN109" s="119">
        <f t="shared" si="653"/>
        <v>0</v>
      </c>
      <c r="AO109" s="113"/>
      <c r="AP109" s="114"/>
      <c r="AQ109" s="119">
        <f t="shared" si="655"/>
        <v>0</v>
      </c>
      <c r="AR109" s="113"/>
      <c r="AS109" s="114"/>
      <c r="AT109" s="119">
        <f t="shared" si="657"/>
        <v>0</v>
      </c>
      <c r="AU109" s="113"/>
      <c r="AV109" s="114"/>
      <c r="AW109" s="119">
        <f t="shared" si="659"/>
        <v>0</v>
      </c>
      <c r="AX109" s="113"/>
      <c r="AY109" s="114"/>
      <c r="AZ109" s="119">
        <f t="shared" si="661"/>
        <v>0</v>
      </c>
      <c r="BA109" s="113"/>
      <c r="BB109" s="114"/>
      <c r="BC109" s="119">
        <f t="shared" si="663"/>
        <v>0</v>
      </c>
      <c r="BD109" s="16"/>
      <c r="BE109" s="113"/>
      <c r="BF109" s="114"/>
      <c r="BG109" s="119">
        <f t="shared" si="685"/>
        <v>0</v>
      </c>
      <c r="BH109" s="113"/>
      <c r="BI109" s="114"/>
      <c r="BJ109" s="119">
        <f t="shared" si="687"/>
        <v>0</v>
      </c>
      <c r="BK109" s="113"/>
      <c r="BL109" s="114"/>
      <c r="BM109" s="119">
        <f t="shared" si="689"/>
        <v>0</v>
      </c>
    </row>
    <row r="110" ht="15.75" customHeight="1" outlineLevel="1">
      <c r="A110" s="2"/>
      <c r="B110" s="26"/>
      <c r="C110" s="120" t="s">
        <v>9</v>
      </c>
      <c r="D110" s="2"/>
      <c r="E110" s="121">
        <f t="shared" ref="E110:H110" si="967">IFERROR(E108/E109,0)</f>
        <v>26.1137037</v>
      </c>
      <c r="F110" s="122">
        <f t="shared" si="967"/>
        <v>27.82352941</v>
      </c>
      <c r="G110" s="122">
        <f t="shared" si="967"/>
        <v>0</v>
      </c>
      <c r="H110" s="123">
        <f t="shared" si="967"/>
        <v>26.52309859</v>
      </c>
      <c r="I110" s="31"/>
      <c r="J110" s="121" t="s">
        <v>7</v>
      </c>
      <c r="K110" s="122">
        <f>IFERROR(K108/K109,0)</f>
        <v>0</v>
      </c>
      <c r="L110" s="123" t="s">
        <v>7</v>
      </c>
      <c r="M110" s="121" t="s">
        <v>7</v>
      </c>
      <c r="N110" s="122">
        <f>IFERROR(N108/N109,0)</f>
        <v>34.29071429</v>
      </c>
      <c r="O110" s="123" t="s">
        <v>7</v>
      </c>
      <c r="P110" s="121" t="s">
        <v>7</v>
      </c>
      <c r="Q110" s="122">
        <f>IFERROR(Q108/Q109,0)</f>
        <v>17.30769231</v>
      </c>
      <c r="R110" s="123" t="s">
        <v>7</v>
      </c>
      <c r="S110" s="2"/>
      <c r="T110" s="121" t="s">
        <v>7</v>
      </c>
      <c r="U110" s="122">
        <f>IFERROR(U108/U109,0)</f>
        <v>20</v>
      </c>
      <c r="V110" s="123" t="s">
        <v>7</v>
      </c>
      <c r="W110" s="121" t="s">
        <v>7</v>
      </c>
      <c r="X110" s="122">
        <f>IFERROR(X108/X109,0)</f>
        <v>0</v>
      </c>
      <c r="Y110" s="123" t="s">
        <v>7</v>
      </c>
      <c r="Z110" s="121">
        <f t="shared" ref="Z110:AA110" si="968">IFERROR(Z108/Z109,0)</f>
        <v>0</v>
      </c>
      <c r="AA110" s="121">
        <f t="shared" si="968"/>
        <v>46.6</v>
      </c>
      <c r="AB110" s="124">
        <f t="shared" si="78"/>
        <v>0</v>
      </c>
      <c r="AC110" s="121">
        <f t="shared" ref="AC110:AD110" si="969">IFERROR(AC108/AC109,0)</f>
        <v>0</v>
      </c>
      <c r="AD110" s="122">
        <f t="shared" si="969"/>
        <v>0</v>
      </c>
      <c r="AE110" s="124">
        <f t="shared" si="80"/>
        <v>0</v>
      </c>
      <c r="AF110" s="121">
        <f t="shared" ref="AF110:AG110" si="970">IFERROR(AF108/AF109,0)</f>
        <v>0</v>
      </c>
      <c r="AG110" s="122">
        <f t="shared" si="970"/>
        <v>0</v>
      </c>
      <c r="AH110" s="124">
        <f t="shared" si="82"/>
        <v>0</v>
      </c>
      <c r="AI110" s="121">
        <f t="shared" ref="AI110:AJ110" si="971">IFERROR(AI108/AI109,0)</f>
        <v>0</v>
      </c>
      <c r="AJ110" s="122">
        <f t="shared" si="971"/>
        <v>0</v>
      </c>
      <c r="AK110" s="124">
        <f t="shared" si="84"/>
        <v>0</v>
      </c>
      <c r="AL110" s="121">
        <f t="shared" ref="AL110:AM110" si="972">IFERROR(AL108/AL109,0)</f>
        <v>0</v>
      </c>
      <c r="AM110" s="122">
        <f t="shared" si="972"/>
        <v>0</v>
      </c>
      <c r="AN110" s="124">
        <f t="shared" si="653"/>
        <v>0</v>
      </c>
      <c r="AO110" s="121">
        <f t="shared" ref="AO110:AP110" si="973">IFERROR(AO108/AO109,0)</f>
        <v>0</v>
      </c>
      <c r="AP110" s="122">
        <f t="shared" si="973"/>
        <v>0</v>
      </c>
      <c r="AQ110" s="124">
        <f t="shared" si="655"/>
        <v>0</v>
      </c>
      <c r="AR110" s="121">
        <f t="shared" ref="AR110:AS110" si="974">IFERROR(AR108/AR109,0)</f>
        <v>0</v>
      </c>
      <c r="AS110" s="122">
        <f t="shared" si="974"/>
        <v>0</v>
      </c>
      <c r="AT110" s="124">
        <f t="shared" si="657"/>
        <v>0</v>
      </c>
      <c r="AU110" s="121">
        <f t="shared" ref="AU110:AV110" si="975">IFERROR(AU108/AU109,0)</f>
        <v>0</v>
      </c>
      <c r="AV110" s="122">
        <f t="shared" si="975"/>
        <v>0</v>
      </c>
      <c r="AW110" s="124">
        <f t="shared" si="659"/>
        <v>0</v>
      </c>
      <c r="AX110" s="121">
        <f t="shared" ref="AX110:AY110" si="976">IFERROR(AX108/AX109,0)</f>
        <v>0</v>
      </c>
      <c r="AY110" s="122">
        <f t="shared" si="976"/>
        <v>0</v>
      </c>
      <c r="AZ110" s="124">
        <f t="shared" si="661"/>
        <v>0</v>
      </c>
      <c r="BA110" s="121">
        <f t="shared" ref="BA110:BB110" si="977">IFERROR(BA108/BA109,0)</f>
        <v>0</v>
      </c>
      <c r="BB110" s="122">
        <f t="shared" si="977"/>
        <v>0</v>
      </c>
      <c r="BC110" s="124">
        <f t="shared" si="663"/>
        <v>0</v>
      </c>
      <c r="BD110" s="31"/>
      <c r="BE110" s="121">
        <f t="shared" ref="BE110:BF110" si="978">IFERROR(BE108/BE109,0)</f>
        <v>0</v>
      </c>
      <c r="BF110" s="122">
        <f t="shared" si="978"/>
        <v>0</v>
      </c>
      <c r="BG110" s="124">
        <f t="shared" si="685"/>
        <v>0</v>
      </c>
      <c r="BH110" s="121">
        <f t="shared" ref="BH110:BI110" si="979">IFERROR(BH108/BH109,0)</f>
        <v>0</v>
      </c>
      <c r="BI110" s="122">
        <f t="shared" si="979"/>
        <v>0</v>
      </c>
      <c r="BJ110" s="124">
        <f t="shared" si="687"/>
        <v>0</v>
      </c>
      <c r="BK110" s="121">
        <f t="shared" ref="BK110:BL110" si="980">IFERROR(BK108/BK109,0)</f>
        <v>0</v>
      </c>
      <c r="BL110" s="122">
        <f t="shared" si="980"/>
        <v>0</v>
      </c>
      <c r="BM110" s="124">
        <f t="shared" si="689"/>
        <v>0</v>
      </c>
    </row>
    <row r="111" ht="15.75" customHeight="1" outlineLevel="1">
      <c r="A111" s="2"/>
      <c r="B111" s="135" t="s">
        <v>46</v>
      </c>
      <c r="C111" s="107" t="s">
        <v>6</v>
      </c>
      <c r="D111" s="2"/>
      <c r="E111" s="108">
        <f t="shared" ref="E111:E112" si="981">K111+N111+Q111</f>
        <v>1020</v>
      </c>
      <c r="F111" s="109">
        <f t="shared" ref="F111:F112" si="982">U111+X111+AA111+AD111+AG111+AJ111+AM111+AP111+AS111+AV111+AY111+BB111</f>
        <v>990</v>
      </c>
      <c r="G111" s="109">
        <f t="shared" ref="G111:G112" si="983">BF111+BI111+BL111</f>
        <v>0</v>
      </c>
      <c r="H111" s="110">
        <f t="shared" ref="H111:H112" si="984">SUM(E111:G111)</f>
        <v>2010</v>
      </c>
      <c r="I111" s="16"/>
      <c r="J111" s="108" t="s">
        <v>7</v>
      </c>
      <c r="K111" s="136"/>
      <c r="L111" s="110" t="s">
        <v>7</v>
      </c>
      <c r="M111" s="108" t="s">
        <v>7</v>
      </c>
      <c r="N111" s="136">
        <v>450.0</v>
      </c>
      <c r="O111" s="110" t="s">
        <v>7</v>
      </c>
      <c r="P111" s="108" t="s">
        <v>7</v>
      </c>
      <c r="Q111" s="136">
        <v>570.0</v>
      </c>
      <c r="R111" s="110" t="s">
        <v>7</v>
      </c>
      <c r="S111" s="2"/>
      <c r="T111" s="108" t="s">
        <v>7</v>
      </c>
      <c r="U111" s="109"/>
      <c r="V111" s="110" t="s">
        <v>7</v>
      </c>
      <c r="W111" s="108" t="s">
        <v>7</v>
      </c>
      <c r="X111" s="136">
        <v>630.0</v>
      </c>
      <c r="Y111" s="110" t="s">
        <v>7</v>
      </c>
      <c r="Z111" s="108"/>
      <c r="AA111" s="136">
        <v>360.0</v>
      </c>
      <c r="AB111" s="111">
        <f t="shared" si="78"/>
        <v>0</v>
      </c>
      <c r="AC111" s="108"/>
      <c r="AD111" s="109"/>
      <c r="AE111" s="111">
        <f t="shared" si="80"/>
        <v>0</v>
      </c>
      <c r="AF111" s="108"/>
      <c r="AG111" s="109"/>
      <c r="AH111" s="111">
        <f t="shared" si="82"/>
        <v>0</v>
      </c>
      <c r="AI111" s="108"/>
      <c r="AJ111" s="109"/>
      <c r="AK111" s="111">
        <f t="shared" si="84"/>
        <v>0</v>
      </c>
      <c r="AL111" s="108"/>
      <c r="AM111" s="109"/>
      <c r="AN111" s="111">
        <f t="shared" si="653"/>
        <v>0</v>
      </c>
      <c r="AO111" s="108"/>
      <c r="AP111" s="109"/>
      <c r="AQ111" s="111">
        <f t="shared" si="655"/>
        <v>0</v>
      </c>
      <c r="AR111" s="108"/>
      <c r="AS111" s="109"/>
      <c r="AT111" s="111">
        <f t="shared" si="657"/>
        <v>0</v>
      </c>
      <c r="AU111" s="108"/>
      <c r="AV111" s="109"/>
      <c r="AW111" s="111">
        <f t="shared" si="659"/>
        <v>0</v>
      </c>
      <c r="AX111" s="108"/>
      <c r="AY111" s="109"/>
      <c r="AZ111" s="111">
        <f t="shared" si="661"/>
        <v>0</v>
      </c>
      <c r="BA111" s="108"/>
      <c r="BB111" s="109"/>
      <c r="BC111" s="111">
        <f t="shared" si="663"/>
        <v>0</v>
      </c>
      <c r="BD111" s="16"/>
      <c r="BE111" s="108"/>
      <c r="BF111" s="109"/>
      <c r="BG111" s="111">
        <f t="shared" si="685"/>
        <v>0</v>
      </c>
      <c r="BH111" s="108"/>
      <c r="BI111" s="109"/>
      <c r="BJ111" s="111">
        <f t="shared" si="687"/>
        <v>0</v>
      </c>
      <c r="BK111" s="108"/>
      <c r="BL111" s="109"/>
      <c r="BM111" s="111">
        <f t="shared" si="689"/>
        <v>0</v>
      </c>
    </row>
    <row r="112" ht="15.75" customHeight="1" outlineLevel="1">
      <c r="A112" s="2"/>
      <c r="B112" s="20"/>
      <c r="C112" s="112" t="s">
        <v>8</v>
      </c>
      <c r="D112" s="2"/>
      <c r="E112" s="113">
        <f t="shared" si="981"/>
        <v>35</v>
      </c>
      <c r="F112" s="114">
        <f t="shared" si="982"/>
        <v>34</v>
      </c>
      <c r="G112" s="114">
        <f t="shared" si="983"/>
        <v>0</v>
      </c>
      <c r="H112" s="115">
        <f t="shared" si="984"/>
        <v>69</v>
      </c>
      <c r="I112" s="16"/>
      <c r="J112" s="113" t="s">
        <v>7</v>
      </c>
      <c r="K112" s="116"/>
      <c r="L112" s="115" t="s">
        <v>7</v>
      </c>
      <c r="M112" s="113" t="s">
        <v>7</v>
      </c>
      <c r="N112" s="116">
        <v>16.0</v>
      </c>
      <c r="O112" s="115" t="s">
        <v>7</v>
      </c>
      <c r="P112" s="113" t="s">
        <v>7</v>
      </c>
      <c r="Q112" s="116">
        <v>19.0</v>
      </c>
      <c r="R112" s="115" t="s">
        <v>7</v>
      </c>
      <c r="S112" s="2"/>
      <c r="T112" s="113" t="s">
        <v>7</v>
      </c>
      <c r="U112" s="114"/>
      <c r="V112" s="115" t="s">
        <v>7</v>
      </c>
      <c r="W112" s="113" t="s">
        <v>7</v>
      </c>
      <c r="X112" s="116">
        <v>22.0</v>
      </c>
      <c r="Y112" s="115" t="s">
        <v>7</v>
      </c>
      <c r="Z112" s="113"/>
      <c r="AA112" s="138">
        <v>12.0</v>
      </c>
      <c r="AB112" s="119">
        <f t="shared" si="78"/>
        <v>0</v>
      </c>
      <c r="AC112" s="113"/>
      <c r="AD112" s="114"/>
      <c r="AE112" s="119">
        <f t="shared" si="80"/>
        <v>0</v>
      </c>
      <c r="AF112" s="113"/>
      <c r="AG112" s="114"/>
      <c r="AH112" s="119">
        <f t="shared" si="82"/>
        <v>0</v>
      </c>
      <c r="AI112" s="113"/>
      <c r="AJ112" s="114"/>
      <c r="AK112" s="119">
        <f t="shared" si="84"/>
        <v>0</v>
      </c>
      <c r="AL112" s="113"/>
      <c r="AM112" s="114"/>
      <c r="AN112" s="119">
        <f t="shared" si="653"/>
        <v>0</v>
      </c>
      <c r="AO112" s="113"/>
      <c r="AP112" s="114"/>
      <c r="AQ112" s="119">
        <f t="shared" si="655"/>
        <v>0</v>
      </c>
      <c r="AR112" s="113"/>
      <c r="AS112" s="114"/>
      <c r="AT112" s="119">
        <f t="shared" si="657"/>
        <v>0</v>
      </c>
      <c r="AU112" s="113"/>
      <c r="AV112" s="114"/>
      <c r="AW112" s="119">
        <f t="shared" si="659"/>
        <v>0</v>
      </c>
      <c r="AX112" s="113"/>
      <c r="AY112" s="114"/>
      <c r="AZ112" s="119">
        <f t="shared" si="661"/>
        <v>0</v>
      </c>
      <c r="BA112" s="113"/>
      <c r="BB112" s="114"/>
      <c r="BC112" s="119">
        <f t="shared" si="663"/>
        <v>0</v>
      </c>
      <c r="BD112" s="16"/>
      <c r="BE112" s="113"/>
      <c r="BF112" s="114"/>
      <c r="BG112" s="119">
        <f t="shared" si="685"/>
        <v>0</v>
      </c>
      <c r="BH112" s="113"/>
      <c r="BI112" s="114"/>
      <c r="BJ112" s="119">
        <f t="shared" si="687"/>
        <v>0</v>
      </c>
      <c r="BK112" s="113"/>
      <c r="BL112" s="114"/>
      <c r="BM112" s="119">
        <f t="shared" si="689"/>
        <v>0</v>
      </c>
    </row>
    <row r="113" ht="15.75" customHeight="1" outlineLevel="1">
      <c r="A113" s="2"/>
      <c r="B113" s="26"/>
      <c r="C113" s="120" t="s">
        <v>9</v>
      </c>
      <c r="D113" s="2"/>
      <c r="E113" s="121">
        <f t="shared" ref="E113:H113" si="985">IFERROR(E111/E112,0)</f>
        <v>29.14285714</v>
      </c>
      <c r="F113" s="122">
        <f t="shared" si="985"/>
        <v>29.11764706</v>
      </c>
      <c r="G113" s="122">
        <f t="shared" si="985"/>
        <v>0</v>
      </c>
      <c r="H113" s="123">
        <f t="shared" si="985"/>
        <v>29.13043478</v>
      </c>
      <c r="I113" s="31"/>
      <c r="J113" s="121" t="s">
        <v>7</v>
      </c>
      <c r="K113" s="122">
        <f>IFERROR(K111/K112,0)</f>
        <v>0</v>
      </c>
      <c r="L113" s="123" t="s">
        <v>7</v>
      </c>
      <c r="M113" s="121" t="s">
        <v>7</v>
      </c>
      <c r="N113" s="122">
        <f>IFERROR(N111/N112,0)</f>
        <v>28.125</v>
      </c>
      <c r="O113" s="123" t="s">
        <v>7</v>
      </c>
      <c r="P113" s="121" t="s">
        <v>7</v>
      </c>
      <c r="Q113" s="122">
        <f>IFERROR(Q111/Q112,0)</f>
        <v>30</v>
      </c>
      <c r="R113" s="123" t="s">
        <v>7</v>
      </c>
      <c r="S113" s="2"/>
      <c r="T113" s="121" t="s">
        <v>7</v>
      </c>
      <c r="U113" s="122">
        <f>IFERROR(U111/U112,0)</f>
        <v>0</v>
      </c>
      <c r="V113" s="123" t="s">
        <v>7</v>
      </c>
      <c r="W113" s="121" t="s">
        <v>7</v>
      </c>
      <c r="X113" s="122">
        <f>IFERROR(X111/X112,0)</f>
        <v>28.63636364</v>
      </c>
      <c r="Y113" s="123" t="s">
        <v>7</v>
      </c>
      <c r="Z113" s="121">
        <f t="shared" ref="Z113:AA113" si="986">IFERROR(Z111/Z112,0)</f>
        <v>0</v>
      </c>
      <c r="AA113" s="121">
        <f t="shared" si="986"/>
        <v>30</v>
      </c>
      <c r="AB113" s="124">
        <f t="shared" si="78"/>
        <v>0</v>
      </c>
      <c r="AC113" s="121">
        <f t="shared" ref="AC113:AD113" si="987">IFERROR(AC111/AC112,0)</f>
        <v>0</v>
      </c>
      <c r="AD113" s="122">
        <f t="shared" si="987"/>
        <v>0</v>
      </c>
      <c r="AE113" s="124">
        <f t="shared" si="80"/>
        <v>0</v>
      </c>
      <c r="AF113" s="121">
        <f t="shared" ref="AF113:AG113" si="988">IFERROR(AF111/AF112,0)</f>
        <v>0</v>
      </c>
      <c r="AG113" s="122">
        <f t="shared" si="988"/>
        <v>0</v>
      </c>
      <c r="AH113" s="124">
        <f t="shared" si="82"/>
        <v>0</v>
      </c>
      <c r="AI113" s="121">
        <f t="shared" ref="AI113:AJ113" si="989">IFERROR(AI111/AI112,0)</f>
        <v>0</v>
      </c>
      <c r="AJ113" s="122">
        <f t="shared" si="989"/>
        <v>0</v>
      </c>
      <c r="AK113" s="124">
        <f t="shared" si="84"/>
        <v>0</v>
      </c>
      <c r="AL113" s="121">
        <f t="shared" ref="AL113:AM113" si="990">IFERROR(AL111/AL112,0)</f>
        <v>0</v>
      </c>
      <c r="AM113" s="122">
        <f t="shared" si="990"/>
        <v>0</v>
      </c>
      <c r="AN113" s="124">
        <f t="shared" si="653"/>
        <v>0</v>
      </c>
      <c r="AO113" s="121">
        <f t="shared" ref="AO113:AP113" si="991">IFERROR(AO111/AO112,0)</f>
        <v>0</v>
      </c>
      <c r="AP113" s="122">
        <f t="shared" si="991"/>
        <v>0</v>
      </c>
      <c r="AQ113" s="124">
        <f t="shared" si="655"/>
        <v>0</v>
      </c>
      <c r="AR113" s="121">
        <f t="shared" ref="AR113:AS113" si="992">IFERROR(AR111/AR112,0)</f>
        <v>0</v>
      </c>
      <c r="AS113" s="122">
        <f t="shared" si="992"/>
        <v>0</v>
      </c>
      <c r="AT113" s="124">
        <f t="shared" si="657"/>
        <v>0</v>
      </c>
      <c r="AU113" s="121">
        <f t="shared" ref="AU113:AV113" si="993">IFERROR(AU111/AU112,0)</f>
        <v>0</v>
      </c>
      <c r="AV113" s="122">
        <f t="shared" si="993"/>
        <v>0</v>
      </c>
      <c r="AW113" s="124">
        <f t="shared" si="659"/>
        <v>0</v>
      </c>
      <c r="AX113" s="121">
        <f t="shared" ref="AX113:AY113" si="994">IFERROR(AX111/AX112,0)</f>
        <v>0</v>
      </c>
      <c r="AY113" s="122">
        <f t="shared" si="994"/>
        <v>0</v>
      </c>
      <c r="AZ113" s="124">
        <f t="shared" si="661"/>
        <v>0</v>
      </c>
      <c r="BA113" s="121">
        <f t="shared" ref="BA113:BB113" si="995">IFERROR(BA111/BA112,0)</f>
        <v>0</v>
      </c>
      <c r="BB113" s="122">
        <f t="shared" si="995"/>
        <v>0</v>
      </c>
      <c r="BC113" s="124">
        <f t="shared" si="663"/>
        <v>0</v>
      </c>
      <c r="BD113" s="31"/>
      <c r="BE113" s="121">
        <f t="shared" ref="BE113:BF113" si="996">IFERROR(BE111/BE112,0)</f>
        <v>0</v>
      </c>
      <c r="BF113" s="122">
        <f t="shared" si="996"/>
        <v>0</v>
      </c>
      <c r="BG113" s="124">
        <f t="shared" si="685"/>
        <v>0</v>
      </c>
      <c r="BH113" s="121">
        <f t="shared" ref="BH113:BI113" si="997">IFERROR(BH111/BH112,0)</f>
        <v>0</v>
      </c>
      <c r="BI113" s="122">
        <f t="shared" si="997"/>
        <v>0</v>
      </c>
      <c r="BJ113" s="124">
        <f t="shared" si="687"/>
        <v>0</v>
      </c>
      <c r="BK113" s="121">
        <f t="shared" ref="BK113:BL113" si="998">IFERROR(BK111/BK112,0)</f>
        <v>0</v>
      </c>
      <c r="BL113" s="122">
        <f t="shared" si="998"/>
        <v>0</v>
      </c>
      <c r="BM113" s="124">
        <f t="shared" si="689"/>
        <v>0</v>
      </c>
    </row>
    <row r="114" ht="15.75" customHeight="1" outlineLevel="1">
      <c r="A114" s="2"/>
      <c r="B114" s="135" t="s">
        <v>47</v>
      </c>
      <c r="C114" s="107" t="s">
        <v>6</v>
      </c>
      <c r="D114" s="2"/>
      <c r="E114" s="108">
        <f t="shared" ref="E114:E115" si="999">K114+N114+Q114</f>
        <v>420</v>
      </c>
      <c r="F114" s="109">
        <f t="shared" ref="F114:F115" si="1000">U114+X114+AA114+AD114+AG114+AJ114+AM114+AP114+AS114+AV114+AY114+BB114</f>
        <v>60</v>
      </c>
      <c r="G114" s="109">
        <f t="shared" ref="G114:G115" si="1001">BF114+BI114+BL114</f>
        <v>0</v>
      </c>
      <c r="H114" s="110">
        <f t="shared" ref="H114:H115" si="1002">SUM(E114:G114)</f>
        <v>480</v>
      </c>
      <c r="I114" s="16"/>
      <c r="J114" s="108" t="s">
        <v>7</v>
      </c>
      <c r="K114" s="136"/>
      <c r="L114" s="110" t="s">
        <v>7</v>
      </c>
      <c r="M114" s="108" t="s">
        <v>7</v>
      </c>
      <c r="N114" s="136">
        <v>420.0</v>
      </c>
      <c r="O114" s="110" t="s">
        <v>7</v>
      </c>
      <c r="P114" s="108" t="s">
        <v>7</v>
      </c>
      <c r="Q114" s="109"/>
      <c r="R114" s="110" t="s">
        <v>7</v>
      </c>
      <c r="S114" s="2"/>
      <c r="T114" s="108" t="s">
        <v>7</v>
      </c>
      <c r="U114" s="109"/>
      <c r="V114" s="110" t="s">
        <v>7</v>
      </c>
      <c r="W114" s="108" t="s">
        <v>7</v>
      </c>
      <c r="X114" s="109"/>
      <c r="Y114" s="110" t="s">
        <v>7</v>
      </c>
      <c r="Z114" s="108"/>
      <c r="AA114" s="136">
        <v>60.0</v>
      </c>
      <c r="AB114" s="111">
        <f t="shared" si="78"/>
        <v>0</v>
      </c>
      <c r="AC114" s="108"/>
      <c r="AD114" s="109"/>
      <c r="AE114" s="111">
        <f t="shared" si="80"/>
        <v>0</v>
      </c>
      <c r="AF114" s="108"/>
      <c r="AG114" s="109"/>
      <c r="AH114" s="111">
        <f t="shared" si="82"/>
        <v>0</v>
      </c>
      <c r="AI114" s="108"/>
      <c r="AJ114" s="109"/>
      <c r="AK114" s="111">
        <f t="shared" si="84"/>
        <v>0</v>
      </c>
      <c r="AL114" s="108"/>
      <c r="AM114" s="109"/>
      <c r="AN114" s="111">
        <f t="shared" si="653"/>
        <v>0</v>
      </c>
      <c r="AO114" s="108"/>
      <c r="AP114" s="109"/>
      <c r="AQ114" s="111">
        <f t="shared" si="655"/>
        <v>0</v>
      </c>
      <c r="AR114" s="108"/>
      <c r="AS114" s="109"/>
      <c r="AT114" s="111">
        <f t="shared" si="657"/>
        <v>0</v>
      </c>
      <c r="AU114" s="108"/>
      <c r="AV114" s="109"/>
      <c r="AW114" s="111">
        <f t="shared" si="659"/>
        <v>0</v>
      </c>
      <c r="AX114" s="108"/>
      <c r="AY114" s="109"/>
      <c r="AZ114" s="111">
        <f t="shared" si="661"/>
        <v>0</v>
      </c>
      <c r="BA114" s="108"/>
      <c r="BB114" s="109"/>
      <c r="BC114" s="111">
        <f t="shared" si="663"/>
        <v>0</v>
      </c>
      <c r="BD114" s="16"/>
      <c r="BE114" s="108"/>
      <c r="BF114" s="109"/>
      <c r="BG114" s="111">
        <f t="shared" si="685"/>
        <v>0</v>
      </c>
      <c r="BH114" s="108"/>
      <c r="BI114" s="109"/>
      <c r="BJ114" s="111">
        <f t="shared" si="687"/>
        <v>0</v>
      </c>
      <c r="BK114" s="108"/>
      <c r="BL114" s="109"/>
      <c r="BM114" s="111">
        <f t="shared" si="689"/>
        <v>0</v>
      </c>
    </row>
    <row r="115" ht="15.75" customHeight="1" outlineLevel="1">
      <c r="A115" s="2"/>
      <c r="B115" s="20"/>
      <c r="C115" s="112" t="s">
        <v>8</v>
      </c>
      <c r="D115" s="2"/>
      <c r="E115" s="113">
        <f t="shared" si="999"/>
        <v>19</v>
      </c>
      <c r="F115" s="114">
        <f t="shared" si="1000"/>
        <v>3</v>
      </c>
      <c r="G115" s="114">
        <f t="shared" si="1001"/>
        <v>0</v>
      </c>
      <c r="H115" s="115">
        <f t="shared" si="1002"/>
        <v>22</v>
      </c>
      <c r="I115" s="16"/>
      <c r="J115" s="113" t="s">
        <v>7</v>
      </c>
      <c r="K115" s="116"/>
      <c r="L115" s="115" t="s">
        <v>7</v>
      </c>
      <c r="M115" s="113" t="s">
        <v>7</v>
      </c>
      <c r="N115" s="116">
        <v>19.0</v>
      </c>
      <c r="O115" s="115" t="s">
        <v>7</v>
      </c>
      <c r="P115" s="113" t="s">
        <v>7</v>
      </c>
      <c r="Q115" s="114"/>
      <c r="R115" s="115" t="s">
        <v>7</v>
      </c>
      <c r="S115" s="2"/>
      <c r="T115" s="113" t="s">
        <v>7</v>
      </c>
      <c r="U115" s="114"/>
      <c r="V115" s="115" t="s">
        <v>7</v>
      </c>
      <c r="W115" s="113" t="s">
        <v>7</v>
      </c>
      <c r="X115" s="114"/>
      <c r="Y115" s="115" t="s">
        <v>7</v>
      </c>
      <c r="Z115" s="113"/>
      <c r="AA115" s="138">
        <v>3.0</v>
      </c>
      <c r="AB115" s="119">
        <f t="shared" si="78"/>
        <v>0</v>
      </c>
      <c r="AC115" s="113"/>
      <c r="AD115" s="114"/>
      <c r="AE115" s="119">
        <f t="shared" si="80"/>
        <v>0</v>
      </c>
      <c r="AF115" s="113"/>
      <c r="AG115" s="114"/>
      <c r="AH115" s="119">
        <f t="shared" si="82"/>
        <v>0</v>
      </c>
      <c r="AI115" s="113"/>
      <c r="AJ115" s="114"/>
      <c r="AK115" s="119">
        <f t="shared" si="84"/>
        <v>0</v>
      </c>
      <c r="AL115" s="113"/>
      <c r="AM115" s="114"/>
      <c r="AN115" s="119">
        <f t="shared" si="653"/>
        <v>0</v>
      </c>
      <c r="AO115" s="113"/>
      <c r="AP115" s="114"/>
      <c r="AQ115" s="119">
        <f t="shared" si="655"/>
        <v>0</v>
      </c>
      <c r="AR115" s="113"/>
      <c r="AS115" s="114"/>
      <c r="AT115" s="119">
        <f t="shared" si="657"/>
        <v>0</v>
      </c>
      <c r="AU115" s="113"/>
      <c r="AV115" s="114"/>
      <c r="AW115" s="119">
        <f t="shared" si="659"/>
        <v>0</v>
      </c>
      <c r="AX115" s="113"/>
      <c r="AY115" s="114"/>
      <c r="AZ115" s="119">
        <f t="shared" si="661"/>
        <v>0</v>
      </c>
      <c r="BA115" s="113"/>
      <c r="BB115" s="114"/>
      <c r="BC115" s="119">
        <f t="shared" si="663"/>
        <v>0</v>
      </c>
      <c r="BD115" s="16"/>
      <c r="BE115" s="113"/>
      <c r="BF115" s="114"/>
      <c r="BG115" s="119">
        <f t="shared" si="685"/>
        <v>0</v>
      </c>
      <c r="BH115" s="113"/>
      <c r="BI115" s="114"/>
      <c r="BJ115" s="119">
        <f t="shared" si="687"/>
        <v>0</v>
      </c>
      <c r="BK115" s="113"/>
      <c r="BL115" s="114"/>
      <c r="BM115" s="119">
        <f t="shared" si="689"/>
        <v>0</v>
      </c>
    </row>
    <row r="116" ht="15.75" customHeight="1" outlineLevel="1">
      <c r="A116" s="2"/>
      <c r="B116" s="26"/>
      <c r="C116" s="120" t="s">
        <v>9</v>
      </c>
      <c r="D116" s="2"/>
      <c r="E116" s="121">
        <f t="shared" ref="E116:H116" si="1003">IFERROR(E114/E115,0)</f>
        <v>22.10526316</v>
      </c>
      <c r="F116" s="122">
        <f t="shared" si="1003"/>
        <v>20</v>
      </c>
      <c r="G116" s="122">
        <f t="shared" si="1003"/>
        <v>0</v>
      </c>
      <c r="H116" s="123">
        <f t="shared" si="1003"/>
        <v>21.81818182</v>
      </c>
      <c r="I116" s="31"/>
      <c r="J116" s="121" t="s">
        <v>7</v>
      </c>
      <c r="K116" s="122">
        <f>IFERROR(K114/K115,0)</f>
        <v>0</v>
      </c>
      <c r="L116" s="123" t="s">
        <v>7</v>
      </c>
      <c r="M116" s="121" t="s">
        <v>7</v>
      </c>
      <c r="N116" s="122">
        <f>IFERROR(N114/N115,0)</f>
        <v>22.10526316</v>
      </c>
      <c r="O116" s="123" t="s">
        <v>7</v>
      </c>
      <c r="P116" s="121" t="s">
        <v>7</v>
      </c>
      <c r="Q116" s="122">
        <f>IFERROR(Q114/Q115,0)</f>
        <v>0</v>
      </c>
      <c r="R116" s="123" t="s">
        <v>7</v>
      </c>
      <c r="S116" s="2"/>
      <c r="T116" s="121" t="s">
        <v>7</v>
      </c>
      <c r="U116" s="122">
        <f>IFERROR(U114/U115,0)</f>
        <v>0</v>
      </c>
      <c r="V116" s="123" t="s">
        <v>7</v>
      </c>
      <c r="W116" s="121" t="s">
        <v>7</v>
      </c>
      <c r="X116" s="122">
        <f>IFERROR(X114/X115,0)</f>
        <v>0</v>
      </c>
      <c r="Y116" s="123" t="s">
        <v>7</v>
      </c>
      <c r="Z116" s="121">
        <f t="shared" ref="Z116:AA116" si="1004">IFERROR(Z114/Z115,0)</f>
        <v>0</v>
      </c>
      <c r="AA116" s="121">
        <f t="shared" si="1004"/>
        <v>20</v>
      </c>
      <c r="AB116" s="124">
        <f t="shared" si="78"/>
        <v>0</v>
      </c>
      <c r="AC116" s="121">
        <f t="shared" ref="AC116:AD116" si="1005">IFERROR(AC114/AC115,0)</f>
        <v>0</v>
      </c>
      <c r="AD116" s="122">
        <f t="shared" si="1005"/>
        <v>0</v>
      </c>
      <c r="AE116" s="124">
        <f t="shared" si="80"/>
        <v>0</v>
      </c>
      <c r="AF116" s="121">
        <f t="shared" ref="AF116:AG116" si="1006">IFERROR(AF114/AF115,0)</f>
        <v>0</v>
      </c>
      <c r="AG116" s="122">
        <f t="shared" si="1006"/>
        <v>0</v>
      </c>
      <c r="AH116" s="124">
        <f t="shared" si="82"/>
        <v>0</v>
      </c>
      <c r="AI116" s="121">
        <f t="shared" ref="AI116:AJ116" si="1007">IFERROR(AI114/AI115,0)</f>
        <v>0</v>
      </c>
      <c r="AJ116" s="122">
        <f t="shared" si="1007"/>
        <v>0</v>
      </c>
      <c r="AK116" s="124">
        <f t="shared" si="84"/>
        <v>0</v>
      </c>
      <c r="AL116" s="121">
        <f t="shared" ref="AL116:AM116" si="1008">IFERROR(AL114/AL115,0)</f>
        <v>0</v>
      </c>
      <c r="AM116" s="122">
        <f t="shared" si="1008"/>
        <v>0</v>
      </c>
      <c r="AN116" s="124">
        <f t="shared" si="653"/>
        <v>0</v>
      </c>
      <c r="AO116" s="121">
        <f t="shared" ref="AO116:AP116" si="1009">IFERROR(AO114/AO115,0)</f>
        <v>0</v>
      </c>
      <c r="AP116" s="122">
        <f t="shared" si="1009"/>
        <v>0</v>
      </c>
      <c r="AQ116" s="124">
        <f t="shared" si="655"/>
        <v>0</v>
      </c>
      <c r="AR116" s="121">
        <f t="shared" ref="AR116:AS116" si="1010">IFERROR(AR114/AR115,0)</f>
        <v>0</v>
      </c>
      <c r="AS116" s="122">
        <f t="shared" si="1010"/>
        <v>0</v>
      </c>
      <c r="AT116" s="124">
        <f t="shared" si="657"/>
        <v>0</v>
      </c>
      <c r="AU116" s="121">
        <f t="shared" ref="AU116:AV116" si="1011">IFERROR(AU114/AU115,0)</f>
        <v>0</v>
      </c>
      <c r="AV116" s="122">
        <f t="shared" si="1011"/>
        <v>0</v>
      </c>
      <c r="AW116" s="124">
        <f t="shared" si="659"/>
        <v>0</v>
      </c>
      <c r="AX116" s="121">
        <f t="shared" ref="AX116:AY116" si="1012">IFERROR(AX114/AX115,0)</f>
        <v>0</v>
      </c>
      <c r="AY116" s="122">
        <f t="shared" si="1012"/>
        <v>0</v>
      </c>
      <c r="AZ116" s="124">
        <f t="shared" si="661"/>
        <v>0</v>
      </c>
      <c r="BA116" s="121">
        <f t="shared" ref="BA116:BB116" si="1013">IFERROR(BA114/BA115,0)</f>
        <v>0</v>
      </c>
      <c r="BB116" s="122">
        <f t="shared" si="1013"/>
        <v>0</v>
      </c>
      <c r="BC116" s="124">
        <f t="shared" si="663"/>
        <v>0</v>
      </c>
      <c r="BD116" s="31"/>
      <c r="BE116" s="121">
        <f t="shared" ref="BE116:BF116" si="1014">IFERROR(BE114/BE115,0)</f>
        <v>0</v>
      </c>
      <c r="BF116" s="122">
        <f t="shared" si="1014"/>
        <v>0</v>
      </c>
      <c r="BG116" s="124">
        <f t="shared" si="685"/>
        <v>0</v>
      </c>
      <c r="BH116" s="121">
        <f t="shared" ref="BH116:BI116" si="1015">IFERROR(BH114/BH115,0)</f>
        <v>0</v>
      </c>
      <c r="BI116" s="122">
        <f t="shared" si="1015"/>
        <v>0</v>
      </c>
      <c r="BJ116" s="124">
        <f t="shared" si="687"/>
        <v>0</v>
      </c>
      <c r="BK116" s="121">
        <f t="shared" ref="BK116:BL116" si="1016">IFERROR(BK114/BK115,0)</f>
        <v>0</v>
      </c>
      <c r="BL116" s="122">
        <f t="shared" si="1016"/>
        <v>0</v>
      </c>
      <c r="BM116" s="124">
        <f t="shared" si="689"/>
        <v>0</v>
      </c>
    </row>
    <row r="117" ht="15.75" customHeight="1" outlineLevel="1">
      <c r="A117" s="2"/>
      <c r="B117" s="135" t="s">
        <v>48</v>
      </c>
      <c r="C117" s="107" t="s">
        <v>6</v>
      </c>
      <c r="D117" s="2"/>
      <c r="E117" s="108">
        <f t="shared" ref="E117:E118" si="1017">K117+N117+Q117</f>
        <v>11596.33</v>
      </c>
      <c r="F117" s="109">
        <f t="shared" ref="F117:F118" si="1018">U117+X117+AA117+AD117+AG117+AJ117+AM117+AP117+AS117+AV117+AY117+BB117</f>
        <v>1420.33</v>
      </c>
      <c r="G117" s="109">
        <f t="shared" ref="G117:G118" si="1019">BF117+BI117+BL117</f>
        <v>0</v>
      </c>
      <c r="H117" s="110">
        <f t="shared" ref="H117:H118" si="1020">SUM(E117:G117)</f>
        <v>13016.66</v>
      </c>
      <c r="I117" s="16"/>
      <c r="J117" s="108" t="s">
        <v>7</v>
      </c>
      <c r="K117" s="136">
        <v>3419.36</v>
      </c>
      <c r="L117" s="110" t="s">
        <v>7</v>
      </c>
      <c r="M117" s="108" t="s">
        <v>7</v>
      </c>
      <c r="N117" s="137">
        <v>6382.07</v>
      </c>
      <c r="O117" s="110" t="s">
        <v>7</v>
      </c>
      <c r="P117" s="108" t="s">
        <v>7</v>
      </c>
      <c r="Q117" s="137">
        <v>1794.9</v>
      </c>
      <c r="R117" s="110" t="s">
        <v>7</v>
      </c>
      <c r="S117" s="2"/>
      <c r="T117" s="108" t="s">
        <v>7</v>
      </c>
      <c r="U117" s="136">
        <f>1179.82-3.21</f>
        <v>1176.61</v>
      </c>
      <c r="V117" s="110" t="s">
        <v>7</v>
      </c>
      <c r="W117" s="108" t="s">
        <v>7</v>
      </c>
      <c r="X117" s="136">
        <v>187.869999999999</v>
      </c>
      <c r="Y117" s="110" t="s">
        <v>7</v>
      </c>
      <c r="Z117" s="108"/>
      <c r="AA117" s="137">
        <f>6491.39-AA96-AA99-AA102-AA105-AA108-AA111-AA114</f>
        <v>55.85</v>
      </c>
      <c r="AB117" s="111">
        <f t="shared" si="78"/>
        <v>0</v>
      </c>
      <c r="AC117" s="108"/>
      <c r="AD117" s="109"/>
      <c r="AE117" s="111">
        <f t="shared" si="80"/>
        <v>0</v>
      </c>
      <c r="AF117" s="108"/>
      <c r="AG117" s="109"/>
      <c r="AH117" s="111">
        <f t="shared" si="82"/>
        <v>0</v>
      </c>
      <c r="AI117" s="108"/>
      <c r="AJ117" s="109"/>
      <c r="AK117" s="111">
        <f t="shared" si="84"/>
        <v>0</v>
      </c>
      <c r="AL117" s="108"/>
      <c r="AM117" s="109"/>
      <c r="AN117" s="111">
        <f t="shared" si="653"/>
        <v>0</v>
      </c>
      <c r="AO117" s="108"/>
      <c r="AP117" s="109"/>
      <c r="AQ117" s="111">
        <f t="shared" si="655"/>
        <v>0</v>
      </c>
      <c r="AR117" s="108"/>
      <c r="AS117" s="109"/>
      <c r="AT117" s="111">
        <f t="shared" si="657"/>
        <v>0</v>
      </c>
      <c r="AU117" s="108"/>
      <c r="AV117" s="109"/>
      <c r="AW117" s="111">
        <f t="shared" si="659"/>
        <v>0</v>
      </c>
      <c r="AX117" s="108"/>
      <c r="AY117" s="109"/>
      <c r="AZ117" s="111">
        <f t="shared" si="661"/>
        <v>0</v>
      </c>
      <c r="BA117" s="108"/>
      <c r="BB117" s="109"/>
      <c r="BC117" s="111">
        <f t="shared" si="663"/>
        <v>0</v>
      </c>
      <c r="BD117" s="16"/>
      <c r="BE117" s="108"/>
      <c r="BF117" s="109"/>
      <c r="BG117" s="111">
        <f t="shared" si="685"/>
        <v>0</v>
      </c>
      <c r="BH117" s="108"/>
      <c r="BI117" s="109"/>
      <c r="BJ117" s="111">
        <f t="shared" si="687"/>
        <v>0</v>
      </c>
      <c r="BK117" s="108"/>
      <c r="BL117" s="109"/>
      <c r="BM117" s="111">
        <f t="shared" si="689"/>
        <v>0</v>
      </c>
    </row>
    <row r="118" ht="15.75" customHeight="1" outlineLevel="1">
      <c r="A118" s="2"/>
      <c r="B118" s="20"/>
      <c r="C118" s="112" t="s">
        <v>8</v>
      </c>
      <c r="D118" s="2"/>
      <c r="E118" s="113">
        <f t="shared" si="1017"/>
        <v>409</v>
      </c>
      <c r="F118" s="114">
        <f t="shared" si="1018"/>
        <v>95</v>
      </c>
      <c r="G118" s="114">
        <f t="shared" si="1019"/>
        <v>0</v>
      </c>
      <c r="H118" s="115">
        <f t="shared" si="1020"/>
        <v>504</v>
      </c>
      <c r="I118" s="16"/>
      <c r="J118" s="113" t="s">
        <v>7</v>
      </c>
      <c r="K118" s="116">
        <v>127.0</v>
      </c>
      <c r="L118" s="115" t="s">
        <v>7</v>
      </c>
      <c r="M118" s="113" t="s">
        <v>7</v>
      </c>
      <c r="N118" s="116">
        <v>225.0</v>
      </c>
      <c r="O118" s="115" t="s">
        <v>7</v>
      </c>
      <c r="P118" s="113" t="s">
        <v>7</v>
      </c>
      <c r="Q118" s="116">
        <v>57.0</v>
      </c>
      <c r="R118" s="115" t="s">
        <v>7</v>
      </c>
      <c r="S118" s="2"/>
      <c r="T118" s="113" t="s">
        <v>7</v>
      </c>
      <c r="U118" s="116">
        <v>29.0</v>
      </c>
      <c r="V118" s="115" t="s">
        <v>7</v>
      </c>
      <c r="W118" s="113" t="s">
        <v>7</v>
      </c>
      <c r="X118" s="116">
        <v>13.0</v>
      </c>
      <c r="Y118" s="115" t="s">
        <v>7</v>
      </c>
      <c r="Z118" s="113"/>
      <c r="AA118" s="138">
        <v>53.0</v>
      </c>
      <c r="AB118" s="119">
        <f t="shared" si="78"/>
        <v>0</v>
      </c>
      <c r="AC118" s="113"/>
      <c r="AD118" s="114"/>
      <c r="AE118" s="119">
        <f t="shared" si="80"/>
        <v>0</v>
      </c>
      <c r="AF118" s="113"/>
      <c r="AG118" s="114"/>
      <c r="AH118" s="119">
        <f t="shared" si="82"/>
        <v>0</v>
      </c>
      <c r="AI118" s="113"/>
      <c r="AJ118" s="114"/>
      <c r="AK118" s="119">
        <f t="shared" si="84"/>
        <v>0</v>
      </c>
      <c r="AL118" s="113"/>
      <c r="AM118" s="114"/>
      <c r="AN118" s="119">
        <f t="shared" si="653"/>
        <v>0</v>
      </c>
      <c r="AO118" s="113"/>
      <c r="AP118" s="114"/>
      <c r="AQ118" s="119">
        <f t="shared" si="655"/>
        <v>0</v>
      </c>
      <c r="AR118" s="113"/>
      <c r="AS118" s="114"/>
      <c r="AT118" s="119">
        <f t="shared" si="657"/>
        <v>0</v>
      </c>
      <c r="AU118" s="113"/>
      <c r="AV118" s="114"/>
      <c r="AW118" s="119">
        <f t="shared" si="659"/>
        <v>0</v>
      </c>
      <c r="AX118" s="113"/>
      <c r="AY118" s="114"/>
      <c r="AZ118" s="119">
        <f t="shared" si="661"/>
        <v>0</v>
      </c>
      <c r="BA118" s="113"/>
      <c r="BB118" s="114"/>
      <c r="BC118" s="119">
        <f t="shared" si="663"/>
        <v>0</v>
      </c>
      <c r="BD118" s="16"/>
      <c r="BE118" s="113"/>
      <c r="BF118" s="114"/>
      <c r="BG118" s="119">
        <f t="shared" si="685"/>
        <v>0</v>
      </c>
      <c r="BH118" s="113"/>
      <c r="BI118" s="114"/>
      <c r="BJ118" s="119">
        <f t="shared" si="687"/>
        <v>0</v>
      </c>
      <c r="BK118" s="113"/>
      <c r="BL118" s="114"/>
      <c r="BM118" s="119">
        <f t="shared" si="689"/>
        <v>0</v>
      </c>
    </row>
    <row r="119" ht="15.75" customHeight="1" outlineLevel="1">
      <c r="A119" s="2"/>
      <c r="B119" s="26"/>
      <c r="C119" s="120" t="s">
        <v>9</v>
      </c>
      <c r="D119" s="2"/>
      <c r="E119" s="121">
        <f t="shared" ref="E119:H119" si="1021">IFERROR(E117/E118,0)</f>
        <v>28.35288509</v>
      </c>
      <c r="F119" s="122">
        <f t="shared" si="1021"/>
        <v>14.95084211</v>
      </c>
      <c r="G119" s="122">
        <f t="shared" si="1021"/>
        <v>0</v>
      </c>
      <c r="H119" s="123">
        <f t="shared" si="1021"/>
        <v>25.82670635</v>
      </c>
      <c r="I119" s="31"/>
      <c r="J119" s="121" t="s">
        <v>7</v>
      </c>
      <c r="K119" s="122">
        <f>IFERROR(K117/K118,0)</f>
        <v>26.92409449</v>
      </c>
      <c r="L119" s="123" t="s">
        <v>7</v>
      </c>
      <c r="M119" s="121" t="s">
        <v>7</v>
      </c>
      <c r="N119" s="122">
        <f>IFERROR(N117/N118,0)</f>
        <v>28.36475556</v>
      </c>
      <c r="O119" s="123" t="s">
        <v>7</v>
      </c>
      <c r="P119" s="121" t="s">
        <v>7</v>
      </c>
      <c r="Q119" s="122">
        <f>IFERROR(Q117/Q118,0)</f>
        <v>31.48947368</v>
      </c>
      <c r="R119" s="123" t="s">
        <v>7</v>
      </c>
      <c r="S119" s="2"/>
      <c r="T119" s="121" t="s">
        <v>7</v>
      </c>
      <c r="U119" s="122">
        <f>IFERROR(U117/U118,0)</f>
        <v>40.57275862</v>
      </c>
      <c r="V119" s="123" t="s">
        <v>7</v>
      </c>
      <c r="W119" s="121" t="s">
        <v>7</v>
      </c>
      <c r="X119" s="122">
        <f>IFERROR(X117/X118,0)</f>
        <v>14.45153846</v>
      </c>
      <c r="Y119" s="123" t="s">
        <v>7</v>
      </c>
      <c r="Z119" s="121">
        <f t="shared" ref="Z119:AA119" si="1022">IFERROR(Z117/Z118,0)</f>
        <v>0</v>
      </c>
      <c r="AA119" s="121">
        <f t="shared" si="1022"/>
        <v>1.053773585</v>
      </c>
      <c r="AB119" s="124">
        <f t="shared" si="78"/>
        <v>0</v>
      </c>
      <c r="AC119" s="121">
        <f t="shared" ref="AC119:AD119" si="1023">IFERROR(AC117/AC118,0)</f>
        <v>0</v>
      </c>
      <c r="AD119" s="122">
        <f t="shared" si="1023"/>
        <v>0</v>
      </c>
      <c r="AE119" s="124">
        <f t="shared" si="80"/>
        <v>0</v>
      </c>
      <c r="AF119" s="121">
        <f t="shared" ref="AF119:AG119" si="1024">IFERROR(AF117/AF118,0)</f>
        <v>0</v>
      </c>
      <c r="AG119" s="122">
        <f t="shared" si="1024"/>
        <v>0</v>
      </c>
      <c r="AH119" s="124">
        <f t="shared" si="82"/>
        <v>0</v>
      </c>
      <c r="AI119" s="121">
        <f t="shared" ref="AI119:AJ119" si="1025">IFERROR(AI117/AI118,0)</f>
        <v>0</v>
      </c>
      <c r="AJ119" s="122">
        <f t="shared" si="1025"/>
        <v>0</v>
      </c>
      <c r="AK119" s="124">
        <f t="shared" si="84"/>
        <v>0</v>
      </c>
      <c r="AL119" s="121">
        <f t="shared" ref="AL119:AM119" si="1026">IFERROR(AL117/AL118,0)</f>
        <v>0</v>
      </c>
      <c r="AM119" s="122">
        <f t="shared" si="1026"/>
        <v>0</v>
      </c>
      <c r="AN119" s="124">
        <f t="shared" si="653"/>
        <v>0</v>
      </c>
      <c r="AO119" s="121">
        <f t="shared" ref="AO119:AP119" si="1027">IFERROR(AO117/AO118,0)</f>
        <v>0</v>
      </c>
      <c r="AP119" s="122">
        <f t="shared" si="1027"/>
        <v>0</v>
      </c>
      <c r="AQ119" s="124">
        <f t="shared" si="655"/>
        <v>0</v>
      </c>
      <c r="AR119" s="121">
        <f t="shared" ref="AR119:AS119" si="1028">IFERROR(AR117/AR118,0)</f>
        <v>0</v>
      </c>
      <c r="AS119" s="122">
        <f t="shared" si="1028"/>
        <v>0</v>
      </c>
      <c r="AT119" s="124">
        <f t="shared" si="657"/>
        <v>0</v>
      </c>
      <c r="AU119" s="121">
        <f t="shared" ref="AU119:AV119" si="1029">IFERROR(AU117/AU118,0)</f>
        <v>0</v>
      </c>
      <c r="AV119" s="122">
        <f t="shared" si="1029"/>
        <v>0</v>
      </c>
      <c r="AW119" s="124">
        <f t="shared" si="659"/>
        <v>0</v>
      </c>
      <c r="AX119" s="121">
        <f t="shared" ref="AX119:AY119" si="1030">IFERROR(AX117/AX118,0)</f>
        <v>0</v>
      </c>
      <c r="AY119" s="122">
        <f t="shared" si="1030"/>
        <v>0</v>
      </c>
      <c r="AZ119" s="124">
        <f t="shared" si="661"/>
        <v>0</v>
      </c>
      <c r="BA119" s="121">
        <f t="shared" ref="BA119:BB119" si="1031">IFERROR(BA117/BA118,0)</f>
        <v>0</v>
      </c>
      <c r="BB119" s="122">
        <f t="shared" si="1031"/>
        <v>0</v>
      </c>
      <c r="BC119" s="124">
        <f t="shared" si="663"/>
        <v>0</v>
      </c>
      <c r="BD119" s="31"/>
      <c r="BE119" s="121">
        <f t="shared" ref="BE119:BF119" si="1032">IFERROR(BE117/BE118,0)</f>
        <v>0</v>
      </c>
      <c r="BF119" s="122">
        <f t="shared" si="1032"/>
        <v>0</v>
      </c>
      <c r="BG119" s="124">
        <f t="shared" si="685"/>
        <v>0</v>
      </c>
      <c r="BH119" s="121">
        <f t="shared" ref="BH119:BI119" si="1033">IFERROR(BH117/BH118,0)</f>
        <v>0</v>
      </c>
      <c r="BI119" s="122">
        <f t="shared" si="1033"/>
        <v>0</v>
      </c>
      <c r="BJ119" s="124">
        <f t="shared" si="687"/>
        <v>0</v>
      </c>
      <c r="BK119" s="121">
        <f t="shared" ref="BK119:BL119" si="1034">IFERROR(BK117/BK118,0)</f>
        <v>0</v>
      </c>
      <c r="BL119" s="122">
        <f t="shared" si="1034"/>
        <v>0</v>
      </c>
      <c r="BM119" s="124">
        <f t="shared" si="689"/>
        <v>0</v>
      </c>
    </row>
    <row r="120" ht="15.75" customHeight="1">
      <c r="A120" s="35"/>
      <c r="B120" s="36" t="s">
        <v>49</v>
      </c>
      <c r="C120" s="37" t="s">
        <v>6</v>
      </c>
      <c r="D120" s="2"/>
      <c r="E120" s="39">
        <f t="shared" ref="E120:G120" si="1035">E123+E126+E132+E135+E129+E138</f>
        <v>50000</v>
      </c>
      <c r="F120" s="39">
        <f t="shared" si="1035"/>
        <v>944255.0564</v>
      </c>
      <c r="G120" s="39">
        <f t="shared" si="1035"/>
        <v>90496.40288</v>
      </c>
      <c r="H120" s="132">
        <f t="shared" ref="H120:H121" si="1050">SUM(E120:G120)</f>
        <v>1084751.459</v>
      </c>
      <c r="I120" s="16"/>
      <c r="J120" s="38" t="s">
        <v>7</v>
      </c>
      <c r="K120" s="39">
        <f t="shared" ref="K120:K121" si="1051">K123+K126+K132+K135</f>
        <v>0</v>
      </c>
      <c r="L120" s="40" t="s">
        <v>7</v>
      </c>
      <c r="M120" s="38" t="s">
        <v>7</v>
      </c>
      <c r="N120" s="39">
        <f t="shared" ref="N120:N121" si="1052">N123+N126+N132+N135</f>
        <v>0</v>
      </c>
      <c r="O120" s="40" t="s">
        <v>7</v>
      </c>
      <c r="P120" s="38" t="s">
        <v>7</v>
      </c>
      <c r="Q120" s="39">
        <f t="shared" ref="Q120:Q121" si="1053">Q123+Q126+Q132+Q135</f>
        <v>50000</v>
      </c>
      <c r="R120" s="40" t="s">
        <v>7</v>
      </c>
      <c r="S120" s="2"/>
      <c r="T120" s="38" t="s">
        <v>7</v>
      </c>
      <c r="U120" s="39">
        <f t="shared" ref="U120:U121" si="1054">U123+U126+U132+U135</f>
        <v>50000</v>
      </c>
      <c r="V120" s="40" t="s">
        <v>7</v>
      </c>
      <c r="W120" s="38" t="s">
        <v>7</v>
      </c>
      <c r="X120" s="39">
        <f t="shared" ref="X120:X121" si="1055">X123+X126+X132+X135</f>
        <v>0</v>
      </c>
      <c r="Y120" s="40" t="s">
        <v>7</v>
      </c>
      <c r="Z120" s="38">
        <f t="shared" ref="Z120:AA120" si="1036">Z123+Z126+Z132+Z135</f>
        <v>0</v>
      </c>
      <c r="AA120" s="39">
        <f t="shared" si="1036"/>
        <v>0</v>
      </c>
      <c r="AB120" s="41">
        <f t="shared" si="78"/>
        <v>0</v>
      </c>
      <c r="AC120" s="38">
        <f t="shared" ref="AC120:AD120" si="1037">AC123+AC126+AC132+AC135+AC129</f>
        <v>83893.07194</v>
      </c>
      <c r="AD120" s="38">
        <f t="shared" si="1037"/>
        <v>83893.07194</v>
      </c>
      <c r="AE120" s="41">
        <f t="shared" si="80"/>
        <v>0</v>
      </c>
      <c r="AF120" s="38">
        <f t="shared" ref="AF120:AG120" si="1038">AF123+AF126+AF129+AF132+AF135+AF138</f>
        <v>95280.85957</v>
      </c>
      <c r="AG120" s="39">
        <f t="shared" si="1038"/>
        <v>95280.85957</v>
      </c>
      <c r="AH120" s="41">
        <f t="shared" si="82"/>
        <v>0</v>
      </c>
      <c r="AI120" s="38">
        <f t="shared" ref="AI120:AJ120" si="1039">AI123+AI126+AI132+AI135</f>
        <v>74885.17612</v>
      </c>
      <c r="AJ120" s="39">
        <f t="shared" si="1039"/>
        <v>74885.17612</v>
      </c>
      <c r="AK120" s="41">
        <f t="shared" si="84"/>
        <v>0</v>
      </c>
      <c r="AL120" s="38">
        <f t="shared" ref="AL120:AM120" si="1040">AL123+AL126+AL132+AL135</f>
        <v>96885.17612</v>
      </c>
      <c r="AM120" s="39">
        <f t="shared" si="1040"/>
        <v>96885.17612</v>
      </c>
      <c r="AN120" s="41">
        <f t="shared" si="653"/>
        <v>0</v>
      </c>
      <c r="AO120" s="38">
        <f t="shared" ref="AO120:AP120" si="1041">AO123+AO126+AO132+AO135</f>
        <v>97885.17612</v>
      </c>
      <c r="AP120" s="39">
        <f t="shared" si="1041"/>
        <v>97885.17612</v>
      </c>
      <c r="AQ120" s="41">
        <f t="shared" si="655"/>
        <v>0</v>
      </c>
      <c r="AR120" s="38">
        <f t="shared" ref="AR120:AS120" si="1042">AR123+AR126+AR132+AR135</f>
        <v>100885.1761</v>
      </c>
      <c r="AS120" s="39">
        <f t="shared" si="1042"/>
        <v>100885.1761</v>
      </c>
      <c r="AT120" s="41">
        <f t="shared" si="657"/>
        <v>0</v>
      </c>
      <c r="AU120" s="38">
        <f t="shared" ref="AU120:AV120" si="1043">AU123+AU126+AU132+AU135</f>
        <v>104885.1761</v>
      </c>
      <c r="AV120" s="39">
        <f t="shared" si="1043"/>
        <v>104885.1761</v>
      </c>
      <c r="AW120" s="41">
        <f t="shared" si="659"/>
        <v>0</v>
      </c>
      <c r="AX120" s="38">
        <f t="shared" ref="AX120:AY120" si="1044">AX123+AX126+AX132+AX135</f>
        <v>107885.1761</v>
      </c>
      <c r="AY120" s="39">
        <f t="shared" si="1044"/>
        <v>107885.1761</v>
      </c>
      <c r="AZ120" s="41">
        <f t="shared" si="661"/>
        <v>0</v>
      </c>
      <c r="BA120" s="38">
        <f t="shared" ref="BA120:BB120" si="1045">BA123+BA126+BA132+BA135</f>
        <v>107885.1761</v>
      </c>
      <c r="BB120" s="39">
        <f t="shared" si="1045"/>
        <v>107885.1761</v>
      </c>
      <c r="BC120" s="41">
        <f t="shared" si="663"/>
        <v>0</v>
      </c>
      <c r="BD120" s="16"/>
      <c r="BE120" s="38">
        <f t="shared" ref="BE120:BF120" si="1046">BE123+BE126+BE132+BE135</f>
        <v>38179.85612</v>
      </c>
      <c r="BF120" s="39">
        <f t="shared" si="1046"/>
        <v>38179.85612</v>
      </c>
      <c r="BG120" s="41">
        <f t="shared" si="685"/>
        <v>0</v>
      </c>
      <c r="BH120" s="38">
        <f t="shared" ref="BH120:BI120" si="1047">BH123+BH126+BH132+BH135</f>
        <v>38179.85612</v>
      </c>
      <c r="BI120" s="39">
        <f t="shared" si="1047"/>
        <v>38179.85612</v>
      </c>
      <c r="BJ120" s="41">
        <f t="shared" si="687"/>
        <v>0</v>
      </c>
      <c r="BK120" s="38">
        <f t="shared" ref="BK120:BL120" si="1048">BK123+BK126+BK132+BK135</f>
        <v>5179.856115</v>
      </c>
      <c r="BL120" s="39">
        <f t="shared" si="1048"/>
        <v>5179.856115</v>
      </c>
      <c r="BM120" s="41">
        <f t="shared" si="689"/>
        <v>0</v>
      </c>
    </row>
    <row r="121" ht="15.75" customHeight="1">
      <c r="B121" s="20"/>
      <c r="C121" s="42" t="s">
        <v>8</v>
      </c>
      <c r="D121" s="2"/>
      <c r="E121" s="43">
        <f>E124+E127+E133+E136</f>
        <v>77</v>
      </c>
      <c r="F121" s="44">
        <f t="shared" ref="F121:G121" si="1049">F124+F127+F133+F136+F139</f>
        <v>10600.7378</v>
      </c>
      <c r="G121" s="44">
        <f t="shared" si="1049"/>
        <v>2450</v>
      </c>
      <c r="H121" s="45">
        <f t="shared" si="1050"/>
        <v>13127.7378</v>
      </c>
      <c r="I121" s="16"/>
      <c r="J121" s="43" t="s">
        <v>7</v>
      </c>
      <c r="K121" s="44">
        <f t="shared" si="1051"/>
        <v>0</v>
      </c>
      <c r="L121" s="45" t="s">
        <v>7</v>
      </c>
      <c r="M121" s="43" t="s">
        <v>7</v>
      </c>
      <c r="N121" s="44">
        <f t="shared" si="1052"/>
        <v>0</v>
      </c>
      <c r="O121" s="45" t="s">
        <v>7</v>
      </c>
      <c r="P121" s="43" t="s">
        <v>7</v>
      </c>
      <c r="Q121" s="44">
        <f t="shared" si="1053"/>
        <v>77</v>
      </c>
      <c r="R121" s="45" t="s">
        <v>7</v>
      </c>
      <c r="S121" s="2"/>
      <c r="T121" s="43" t="s">
        <v>7</v>
      </c>
      <c r="U121" s="44">
        <f t="shared" si="1054"/>
        <v>16</v>
      </c>
      <c r="V121" s="45" t="s">
        <v>7</v>
      </c>
      <c r="W121" s="43" t="s">
        <v>7</v>
      </c>
      <c r="X121" s="44">
        <f t="shared" si="1055"/>
        <v>3</v>
      </c>
      <c r="Y121" s="45" t="s">
        <v>7</v>
      </c>
      <c r="Z121" s="43">
        <f t="shared" ref="Z121:AA121" si="1056">Z124+Z127+Z133+Z136</f>
        <v>0</v>
      </c>
      <c r="AA121" s="44">
        <f t="shared" si="1056"/>
        <v>0</v>
      </c>
      <c r="AB121" s="46">
        <f t="shared" si="78"/>
        <v>0</v>
      </c>
      <c r="AC121" s="43">
        <f t="shared" ref="AC121:AD121" si="1057">AC124+AC127+AC133+AC136</f>
        <v>593.525</v>
      </c>
      <c r="AD121" s="44">
        <f t="shared" si="1057"/>
        <v>593.525</v>
      </c>
      <c r="AE121" s="46">
        <f t="shared" si="80"/>
        <v>0</v>
      </c>
      <c r="AF121" s="43">
        <f t="shared" ref="AF121:AG121" si="1058">AF124+AF127+AF133+AF136</f>
        <v>788.5266</v>
      </c>
      <c r="AG121" s="44">
        <f t="shared" si="1058"/>
        <v>788.5266</v>
      </c>
      <c r="AH121" s="46">
        <f t="shared" si="82"/>
        <v>0</v>
      </c>
      <c r="AI121" s="43">
        <f t="shared" ref="AI121:AJ121" si="1059">AI124+AI127+AI133+AI136</f>
        <v>398.5266</v>
      </c>
      <c r="AJ121" s="44">
        <f t="shared" si="1059"/>
        <v>398.5266</v>
      </c>
      <c r="AK121" s="46">
        <f t="shared" si="84"/>
        <v>0</v>
      </c>
      <c r="AL121" s="43">
        <f t="shared" ref="AL121:AM121" si="1060">AL124+AL127+AL133+AL136</f>
        <v>868.5266</v>
      </c>
      <c r="AM121" s="44">
        <f t="shared" si="1060"/>
        <v>868.5266</v>
      </c>
      <c r="AN121" s="46">
        <f t="shared" si="653"/>
        <v>0</v>
      </c>
      <c r="AO121" s="43">
        <f t="shared" ref="AO121:AP121" si="1061">AO124+AO127+AO133+AO136</f>
        <v>898.5266</v>
      </c>
      <c r="AP121" s="44">
        <f t="shared" si="1061"/>
        <v>898.5266</v>
      </c>
      <c r="AQ121" s="46">
        <f t="shared" si="655"/>
        <v>0</v>
      </c>
      <c r="AR121" s="43">
        <f t="shared" ref="AR121:AS121" si="1062">AR124+AR127+AR133+AR136</f>
        <v>998.5266</v>
      </c>
      <c r="AS121" s="44">
        <f t="shared" si="1062"/>
        <v>998.5266</v>
      </c>
      <c r="AT121" s="46">
        <f t="shared" si="657"/>
        <v>0</v>
      </c>
      <c r="AU121" s="43">
        <f t="shared" ref="AU121:AV121" si="1063">AU124+AU127+AU133+AU136</f>
        <v>1018.5266</v>
      </c>
      <c r="AV121" s="44">
        <f t="shared" si="1063"/>
        <v>1018.5266</v>
      </c>
      <c r="AW121" s="46">
        <f t="shared" si="659"/>
        <v>0</v>
      </c>
      <c r="AX121" s="43">
        <f t="shared" ref="AX121:AY121" si="1064">AX124+AX127+AX133+AX136</f>
        <v>1068.5266</v>
      </c>
      <c r="AY121" s="44">
        <f t="shared" si="1064"/>
        <v>1068.5266</v>
      </c>
      <c r="AZ121" s="46">
        <f t="shared" si="661"/>
        <v>0</v>
      </c>
      <c r="BA121" s="43">
        <f t="shared" ref="BA121:BB121" si="1065">BA124+BA127+BA133+BA136</f>
        <v>1068.5266</v>
      </c>
      <c r="BB121" s="44">
        <f t="shared" si="1065"/>
        <v>1068.5266</v>
      </c>
      <c r="BC121" s="46">
        <f t="shared" si="663"/>
        <v>0</v>
      </c>
      <c r="BD121" s="16"/>
      <c r="BE121" s="43">
        <f t="shared" ref="BE121:BF121" si="1066">BE124+BE127+BE133+BE136</f>
        <v>720</v>
      </c>
      <c r="BF121" s="44">
        <f t="shared" si="1066"/>
        <v>720</v>
      </c>
      <c r="BG121" s="46">
        <f t="shared" si="685"/>
        <v>0</v>
      </c>
      <c r="BH121" s="43">
        <f t="shared" ref="BH121:BI121" si="1067">BH124+BH127+BH133+BH136</f>
        <v>720</v>
      </c>
      <c r="BI121" s="44">
        <f t="shared" si="1067"/>
        <v>720</v>
      </c>
      <c r="BJ121" s="46">
        <f t="shared" si="687"/>
        <v>0</v>
      </c>
      <c r="BK121" s="43">
        <f t="shared" ref="BK121:BL121" si="1068">BK124+BK127+BK133+BK136</f>
        <v>50</v>
      </c>
      <c r="BL121" s="44">
        <f t="shared" si="1068"/>
        <v>50</v>
      </c>
      <c r="BM121" s="46">
        <f t="shared" si="689"/>
        <v>0</v>
      </c>
    </row>
    <row r="122" ht="15.75" customHeight="1">
      <c r="B122" s="26"/>
      <c r="C122" s="101" t="s">
        <v>9</v>
      </c>
      <c r="D122" s="2"/>
      <c r="E122" s="102">
        <f t="shared" ref="E122:H122" si="1069">IFERROR(E120/E121,0)</f>
        <v>649.3506494</v>
      </c>
      <c r="F122" s="103">
        <f t="shared" si="1069"/>
        <v>89.07446578</v>
      </c>
      <c r="G122" s="103">
        <f t="shared" si="1069"/>
        <v>36.9373073</v>
      </c>
      <c r="H122" s="104">
        <f t="shared" si="1069"/>
        <v>82.63049398</v>
      </c>
      <c r="I122" s="31"/>
      <c r="J122" s="102" t="s">
        <v>7</v>
      </c>
      <c r="K122" s="103">
        <f>IFERROR(K120/K121,0)</f>
        <v>0</v>
      </c>
      <c r="L122" s="104" t="s">
        <v>7</v>
      </c>
      <c r="M122" s="102" t="s">
        <v>7</v>
      </c>
      <c r="N122" s="103">
        <f>IFERROR(N120/N121,0)</f>
        <v>0</v>
      </c>
      <c r="O122" s="104" t="s">
        <v>7</v>
      </c>
      <c r="P122" s="102" t="s">
        <v>7</v>
      </c>
      <c r="Q122" s="103">
        <f>IFERROR(Q120/Q121,0)</f>
        <v>649.3506494</v>
      </c>
      <c r="R122" s="104" t="s">
        <v>7</v>
      </c>
      <c r="S122" s="2"/>
      <c r="T122" s="102" t="s">
        <v>7</v>
      </c>
      <c r="U122" s="103">
        <f>IFERROR(U120/U121,0)</f>
        <v>3125</v>
      </c>
      <c r="V122" s="104" t="s">
        <v>7</v>
      </c>
      <c r="W122" s="102" t="s">
        <v>7</v>
      </c>
      <c r="X122" s="103">
        <f>IFERROR(X120/X121,0)</f>
        <v>0</v>
      </c>
      <c r="Y122" s="104" t="s">
        <v>7</v>
      </c>
      <c r="Z122" s="102">
        <f t="shared" ref="Z122:AA122" si="1070">IFERROR(Z120/Z121,0)</f>
        <v>0</v>
      </c>
      <c r="AA122" s="103">
        <f t="shared" si="1070"/>
        <v>0</v>
      </c>
      <c r="AB122" s="105">
        <f t="shared" si="78"/>
        <v>0</v>
      </c>
      <c r="AC122" s="102">
        <f t="shared" ref="AC122:AD122" si="1071">IFERROR(AC120/AC121,0)</f>
        <v>141.347158</v>
      </c>
      <c r="AD122" s="103">
        <f t="shared" si="1071"/>
        <v>141.347158</v>
      </c>
      <c r="AE122" s="105">
        <f t="shared" si="80"/>
        <v>0</v>
      </c>
      <c r="AF122" s="102">
        <f t="shared" ref="AF122:AG122" si="1072">IFERROR(AF120/AF121,0)</f>
        <v>120.8340461</v>
      </c>
      <c r="AG122" s="103">
        <f t="shared" si="1072"/>
        <v>120.8340461</v>
      </c>
      <c r="AH122" s="105">
        <f t="shared" si="82"/>
        <v>0</v>
      </c>
      <c r="AI122" s="102">
        <f t="shared" ref="AI122:AJ122" si="1073">IFERROR(AI120/AI121,0)</f>
        <v>187.9050887</v>
      </c>
      <c r="AJ122" s="103">
        <f t="shared" si="1073"/>
        <v>187.9050887</v>
      </c>
      <c r="AK122" s="105">
        <f t="shared" si="84"/>
        <v>0</v>
      </c>
      <c r="AL122" s="102">
        <f t="shared" ref="AL122:AM122" si="1074">IFERROR(AL120/AL121,0)</f>
        <v>111.5511904</v>
      </c>
      <c r="AM122" s="103">
        <f t="shared" si="1074"/>
        <v>111.5511904</v>
      </c>
      <c r="AN122" s="105">
        <f t="shared" si="653"/>
        <v>0</v>
      </c>
      <c r="AO122" s="102">
        <f t="shared" ref="AO122:AP122" si="1075">IFERROR(AO120/AO121,0)</f>
        <v>108.9396531</v>
      </c>
      <c r="AP122" s="103">
        <f t="shared" si="1075"/>
        <v>108.9396531</v>
      </c>
      <c r="AQ122" s="105">
        <f t="shared" si="655"/>
        <v>0</v>
      </c>
      <c r="AR122" s="102">
        <f t="shared" ref="AR122:AS122" si="1076">IFERROR(AR120/AR121,0)</f>
        <v>101.0340397</v>
      </c>
      <c r="AS122" s="103">
        <f t="shared" si="1076"/>
        <v>101.0340397</v>
      </c>
      <c r="AT122" s="105">
        <f t="shared" si="657"/>
        <v>0</v>
      </c>
      <c r="AU122" s="102">
        <f t="shared" ref="AU122:AV122" si="1077">IFERROR(AU120/AU121,0)</f>
        <v>102.9773558</v>
      </c>
      <c r="AV122" s="103">
        <f t="shared" si="1077"/>
        <v>102.9773558</v>
      </c>
      <c r="AW122" s="105">
        <f t="shared" si="659"/>
        <v>0</v>
      </c>
      <c r="AX122" s="102">
        <f t="shared" ref="AX122:AY122" si="1078">IFERROR(AX120/AX121,0)</f>
        <v>100.9662989</v>
      </c>
      <c r="AY122" s="103">
        <f t="shared" si="1078"/>
        <v>100.9662989</v>
      </c>
      <c r="AZ122" s="105">
        <f t="shared" si="661"/>
        <v>0</v>
      </c>
      <c r="BA122" s="102">
        <f t="shared" ref="BA122:BB122" si="1079">IFERROR(BA120/BA121,0)</f>
        <v>100.9662989</v>
      </c>
      <c r="BB122" s="103">
        <f t="shared" si="1079"/>
        <v>100.9662989</v>
      </c>
      <c r="BC122" s="105">
        <f t="shared" si="663"/>
        <v>0</v>
      </c>
      <c r="BD122" s="31"/>
      <c r="BE122" s="102">
        <f t="shared" ref="BE122:BF122" si="1080">IFERROR(BE120/BE121,0)</f>
        <v>53.02757794</v>
      </c>
      <c r="BF122" s="103">
        <f t="shared" si="1080"/>
        <v>53.02757794</v>
      </c>
      <c r="BG122" s="105">
        <f t="shared" si="685"/>
        <v>0</v>
      </c>
      <c r="BH122" s="102">
        <f t="shared" ref="BH122:BI122" si="1081">IFERROR(BH120/BH121,0)</f>
        <v>53.02757794</v>
      </c>
      <c r="BI122" s="103">
        <f t="shared" si="1081"/>
        <v>53.02757794</v>
      </c>
      <c r="BJ122" s="105">
        <f t="shared" si="687"/>
        <v>0</v>
      </c>
      <c r="BK122" s="102">
        <f t="shared" ref="BK122:BL122" si="1082">IFERROR(BK120/BK121,0)</f>
        <v>103.5971223</v>
      </c>
      <c r="BL122" s="103">
        <f t="shared" si="1082"/>
        <v>103.5971223</v>
      </c>
      <c r="BM122" s="105">
        <f t="shared" si="689"/>
        <v>0</v>
      </c>
    </row>
    <row r="123" ht="15.75" hidden="1" customHeight="1" outlineLevel="1">
      <c r="A123" s="2"/>
      <c r="B123" s="140" t="s">
        <v>50</v>
      </c>
      <c r="C123" s="107" t="s">
        <v>6</v>
      </c>
      <c r="D123" s="2"/>
      <c r="E123" s="108">
        <f t="shared" ref="E123:E124" si="1083">K123+N123+Q123</f>
        <v>50000</v>
      </c>
      <c r="F123" s="109">
        <f t="shared" ref="F123:F124" si="1084">U123+X123+AA123+AD123+AG123+AJ123+AM123+AP123+AS123+AV123+AY123+BB123</f>
        <v>50000</v>
      </c>
      <c r="G123" s="109">
        <f t="shared" ref="G123:G124" si="1085">BF123+BI123+BL123</f>
        <v>0</v>
      </c>
      <c r="H123" s="110">
        <f t="shared" ref="H123:H124" si="1086">SUM(E123:G123)</f>
        <v>100000</v>
      </c>
      <c r="I123" s="16"/>
      <c r="J123" s="108" t="s">
        <v>7</v>
      </c>
      <c r="K123" s="109"/>
      <c r="L123" s="110" t="s">
        <v>7</v>
      </c>
      <c r="M123" s="108" t="s">
        <v>7</v>
      </c>
      <c r="N123" s="109"/>
      <c r="O123" s="110" t="s">
        <v>7</v>
      </c>
      <c r="P123" s="108" t="s">
        <v>7</v>
      </c>
      <c r="Q123" s="109">
        <v>50000.0</v>
      </c>
      <c r="R123" s="110" t="s">
        <v>7</v>
      </c>
      <c r="S123" s="2"/>
      <c r="T123" s="108" t="s">
        <v>7</v>
      </c>
      <c r="U123" s="109">
        <v>50000.0</v>
      </c>
      <c r="V123" s="110" t="s">
        <v>7</v>
      </c>
      <c r="W123" s="108" t="s">
        <v>7</v>
      </c>
      <c r="X123" s="109"/>
      <c r="Y123" s="110" t="s">
        <v>7</v>
      </c>
      <c r="Z123" s="108"/>
      <c r="AA123" s="109"/>
      <c r="AB123" s="111">
        <f t="shared" si="78"/>
        <v>0</v>
      </c>
      <c r="AC123" s="108"/>
      <c r="AD123" s="109"/>
      <c r="AE123" s="111">
        <f t="shared" si="80"/>
        <v>0</v>
      </c>
      <c r="AF123" s="108"/>
      <c r="AG123" s="109"/>
      <c r="AH123" s="111">
        <f t="shared" si="82"/>
        <v>0</v>
      </c>
      <c r="AI123" s="108"/>
      <c r="AJ123" s="109"/>
      <c r="AK123" s="111">
        <f t="shared" si="84"/>
        <v>0</v>
      </c>
      <c r="AL123" s="108"/>
      <c r="AM123" s="109"/>
      <c r="AN123" s="111">
        <f t="shared" si="653"/>
        <v>0</v>
      </c>
      <c r="AO123" s="108"/>
      <c r="AP123" s="109"/>
      <c r="AQ123" s="111">
        <f t="shared" si="655"/>
        <v>0</v>
      </c>
      <c r="AR123" s="108"/>
      <c r="AS123" s="109"/>
      <c r="AT123" s="111">
        <f t="shared" si="657"/>
        <v>0</v>
      </c>
      <c r="AU123" s="108"/>
      <c r="AV123" s="109"/>
      <c r="AW123" s="111">
        <f t="shared" si="659"/>
        <v>0</v>
      </c>
      <c r="AX123" s="108"/>
      <c r="AY123" s="109"/>
      <c r="AZ123" s="111">
        <f t="shared" si="661"/>
        <v>0</v>
      </c>
      <c r="BA123" s="108"/>
      <c r="BB123" s="109"/>
      <c r="BC123" s="111">
        <f t="shared" si="663"/>
        <v>0</v>
      </c>
      <c r="BD123" s="16"/>
      <c r="BE123" s="108"/>
      <c r="BF123" s="109"/>
      <c r="BG123" s="111">
        <f t="shared" si="685"/>
        <v>0</v>
      </c>
      <c r="BH123" s="108"/>
      <c r="BI123" s="109"/>
      <c r="BJ123" s="111">
        <f t="shared" si="687"/>
        <v>0</v>
      </c>
      <c r="BK123" s="108"/>
      <c r="BL123" s="109"/>
      <c r="BM123" s="111">
        <f t="shared" si="689"/>
        <v>0</v>
      </c>
    </row>
    <row r="124" ht="15.75" hidden="1" customHeight="1" outlineLevel="1">
      <c r="A124" s="2"/>
      <c r="B124" s="20"/>
      <c r="C124" s="112" t="s">
        <v>8</v>
      </c>
      <c r="D124" s="2"/>
      <c r="E124" s="113">
        <f t="shared" si="1083"/>
        <v>77</v>
      </c>
      <c r="F124" s="114">
        <f t="shared" si="1084"/>
        <v>19</v>
      </c>
      <c r="G124" s="114">
        <f t="shared" si="1085"/>
        <v>0</v>
      </c>
      <c r="H124" s="115">
        <f t="shared" si="1086"/>
        <v>96</v>
      </c>
      <c r="I124" s="16"/>
      <c r="J124" s="113" t="s">
        <v>7</v>
      </c>
      <c r="K124" s="114"/>
      <c r="L124" s="115" t="s">
        <v>7</v>
      </c>
      <c r="M124" s="113" t="s">
        <v>7</v>
      </c>
      <c r="N124" s="114"/>
      <c r="O124" s="115" t="s">
        <v>7</v>
      </c>
      <c r="P124" s="113" t="s">
        <v>7</v>
      </c>
      <c r="Q124" s="114">
        <v>77.0</v>
      </c>
      <c r="R124" s="115" t="s">
        <v>7</v>
      </c>
      <c r="S124" s="2"/>
      <c r="T124" s="113" t="s">
        <v>7</v>
      </c>
      <c r="U124" s="114">
        <v>16.0</v>
      </c>
      <c r="V124" s="115" t="s">
        <v>7</v>
      </c>
      <c r="W124" s="113" t="s">
        <v>7</v>
      </c>
      <c r="X124" s="114">
        <v>3.0</v>
      </c>
      <c r="Y124" s="115" t="s">
        <v>7</v>
      </c>
      <c r="Z124" s="113"/>
      <c r="AA124" s="114"/>
      <c r="AB124" s="119">
        <f t="shared" si="78"/>
        <v>0</v>
      </c>
      <c r="AC124" s="113"/>
      <c r="AD124" s="114"/>
      <c r="AE124" s="119">
        <f t="shared" si="80"/>
        <v>0</v>
      </c>
      <c r="AF124" s="113"/>
      <c r="AG124" s="114"/>
      <c r="AH124" s="119">
        <f t="shared" si="82"/>
        <v>0</v>
      </c>
      <c r="AI124" s="113"/>
      <c r="AJ124" s="114"/>
      <c r="AK124" s="119">
        <f t="shared" si="84"/>
        <v>0</v>
      </c>
      <c r="AL124" s="113"/>
      <c r="AM124" s="114"/>
      <c r="AN124" s="119">
        <f t="shared" si="653"/>
        <v>0</v>
      </c>
      <c r="AO124" s="113"/>
      <c r="AP124" s="114"/>
      <c r="AQ124" s="119">
        <f t="shared" si="655"/>
        <v>0</v>
      </c>
      <c r="AR124" s="113"/>
      <c r="AS124" s="114"/>
      <c r="AT124" s="119">
        <f t="shared" si="657"/>
        <v>0</v>
      </c>
      <c r="AU124" s="113"/>
      <c r="AV124" s="114"/>
      <c r="AW124" s="119">
        <f t="shared" si="659"/>
        <v>0</v>
      </c>
      <c r="AX124" s="113"/>
      <c r="AY124" s="114"/>
      <c r="AZ124" s="119">
        <f t="shared" si="661"/>
        <v>0</v>
      </c>
      <c r="BA124" s="113"/>
      <c r="BB124" s="114"/>
      <c r="BC124" s="119">
        <f t="shared" si="663"/>
        <v>0</v>
      </c>
      <c r="BD124" s="16"/>
      <c r="BE124" s="113"/>
      <c r="BF124" s="114"/>
      <c r="BG124" s="119">
        <f t="shared" si="685"/>
        <v>0</v>
      </c>
      <c r="BH124" s="113"/>
      <c r="BI124" s="114"/>
      <c r="BJ124" s="119">
        <f t="shared" si="687"/>
        <v>0</v>
      </c>
      <c r="BK124" s="113"/>
      <c r="BL124" s="114"/>
      <c r="BM124" s="119">
        <f t="shared" si="689"/>
        <v>0</v>
      </c>
    </row>
    <row r="125" ht="15.75" hidden="1" customHeight="1" outlineLevel="1">
      <c r="A125" s="2"/>
      <c r="B125" s="26"/>
      <c r="C125" s="120" t="s">
        <v>9</v>
      </c>
      <c r="D125" s="2"/>
      <c r="E125" s="121">
        <f t="shared" ref="E125:H125" si="1087">IFERROR(E123/E124,0)</f>
        <v>649.3506494</v>
      </c>
      <c r="F125" s="122">
        <f t="shared" si="1087"/>
        <v>2631.578947</v>
      </c>
      <c r="G125" s="122">
        <f t="shared" si="1087"/>
        <v>0</v>
      </c>
      <c r="H125" s="123">
        <f t="shared" si="1087"/>
        <v>1041.666667</v>
      </c>
      <c r="I125" s="31"/>
      <c r="J125" s="121" t="s">
        <v>7</v>
      </c>
      <c r="K125" s="122">
        <f>IFERROR(K123/K124,0)</f>
        <v>0</v>
      </c>
      <c r="L125" s="123" t="s">
        <v>7</v>
      </c>
      <c r="M125" s="121" t="s">
        <v>7</v>
      </c>
      <c r="N125" s="122">
        <f>IFERROR(N123/N124,0)</f>
        <v>0</v>
      </c>
      <c r="O125" s="123" t="s">
        <v>7</v>
      </c>
      <c r="P125" s="121" t="s">
        <v>7</v>
      </c>
      <c r="Q125" s="122">
        <f>IFERROR(Q123/Q124,0)</f>
        <v>649.3506494</v>
      </c>
      <c r="R125" s="123" t="s">
        <v>7</v>
      </c>
      <c r="S125" s="2"/>
      <c r="T125" s="121" t="s">
        <v>7</v>
      </c>
      <c r="U125" s="122">
        <f>IFERROR(U123/U124,0)</f>
        <v>3125</v>
      </c>
      <c r="V125" s="123" t="s">
        <v>7</v>
      </c>
      <c r="W125" s="121" t="s">
        <v>7</v>
      </c>
      <c r="X125" s="122">
        <f>IFERROR(X123/X124,0)</f>
        <v>0</v>
      </c>
      <c r="Y125" s="123" t="s">
        <v>7</v>
      </c>
      <c r="Z125" s="121">
        <f t="shared" ref="Z125:AA125" si="1088">IFERROR(Z123/Z124,0)</f>
        <v>0</v>
      </c>
      <c r="AA125" s="122">
        <f t="shared" si="1088"/>
        <v>0</v>
      </c>
      <c r="AB125" s="124">
        <f t="shared" si="78"/>
        <v>0</v>
      </c>
      <c r="AC125" s="121">
        <f t="shared" ref="AC125:AD125" si="1089">IFERROR(AC123/AC124,0)</f>
        <v>0</v>
      </c>
      <c r="AD125" s="122">
        <f t="shared" si="1089"/>
        <v>0</v>
      </c>
      <c r="AE125" s="124">
        <f t="shared" si="80"/>
        <v>0</v>
      </c>
      <c r="AF125" s="121">
        <f t="shared" ref="AF125:AG125" si="1090">IFERROR(AF123/AF124,0)</f>
        <v>0</v>
      </c>
      <c r="AG125" s="122">
        <f t="shared" si="1090"/>
        <v>0</v>
      </c>
      <c r="AH125" s="124">
        <f t="shared" si="82"/>
        <v>0</v>
      </c>
      <c r="AI125" s="121">
        <f t="shared" ref="AI125:AJ125" si="1091">IFERROR(AI123/AI124,0)</f>
        <v>0</v>
      </c>
      <c r="AJ125" s="122">
        <f t="shared" si="1091"/>
        <v>0</v>
      </c>
      <c r="AK125" s="124">
        <f t="shared" si="84"/>
        <v>0</v>
      </c>
      <c r="AL125" s="121">
        <f t="shared" ref="AL125:AM125" si="1092">IFERROR(AL123/AL124,0)</f>
        <v>0</v>
      </c>
      <c r="AM125" s="122">
        <f t="shared" si="1092"/>
        <v>0</v>
      </c>
      <c r="AN125" s="124">
        <f t="shared" si="653"/>
        <v>0</v>
      </c>
      <c r="AO125" s="121">
        <f t="shared" ref="AO125:AP125" si="1093">IFERROR(AO123/AO124,0)</f>
        <v>0</v>
      </c>
      <c r="AP125" s="122">
        <f t="shared" si="1093"/>
        <v>0</v>
      </c>
      <c r="AQ125" s="124">
        <f t="shared" si="655"/>
        <v>0</v>
      </c>
      <c r="AR125" s="121">
        <f t="shared" ref="AR125:AS125" si="1094">IFERROR(AR123/AR124,0)</f>
        <v>0</v>
      </c>
      <c r="AS125" s="122">
        <f t="shared" si="1094"/>
        <v>0</v>
      </c>
      <c r="AT125" s="124">
        <f t="shared" si="657"/>
        <v>0</v>
      </c>
      <c r="AU125" s="121">
        <f t="shared" ref="AU125:AV125" si="1095">IFERROR(AU123/AU124,0)</f>
        <v>0</v>
      </c>
      <c r="AV125" s="122">
        <f t="shared" si="1095"/>
        <v>0</v>
      </c>
      <c r="AW125" s="124">
        <f t="shared" si="659"/>
        <v>0</v>
      </c>
      <c r="AX125" s="121">
        <f t="shared" ref="AX125:AY125" si="1096">IFERROR(AX123/AX124,0)</f>
        <v>0</v>
      </c>
      <c r="AY125" s="122">
        <f t="shared" si="1096"/>
        <v>0</v>
      </c>
      <c r="AZ125" s="124">
        <f t="shared" si="661"/>
        <v>0</v>
      </c>
      <c r="BA125" s="121">
        <f t="shared" ref="BA125:BB125" si="1097">IFERROR(BA123/BA124,0)</f>
        <v>0</v>
      </c>
      <c r="BB125" s="122">
        <f t="shared" si="1097"/>
        <v>0</v>
      </c>
      <c r="BC125" s="124">
        <f t="shared" si="663"/>
        <v>0</v>
      </c>
      <c r="BD125" s="31"/>
      <c r="BE125" s="121">
        <f t="shared" ref="BE125:BF125" si="1098">IFERROR(BE123/BE124,0)</f>
        <v>0</v>
      </c>
      <c r="BF125" s="122">
        <f t="shared" si="1098"/>
        <v>0</v>
      </c>
      <c r="BG125" s="124">
        <f t="shared" si="685"/>
        <v>0</v>
      </c>
      <c r="BH125" s="121">
        <f t="shared" ref="BH125:BI125" si="1099">IFERROR(BH123/BH124,0)</f>
        <v>0</v>
      </c>
      <c r="BI125" s="122">
        <f t="shared" si="1099"/>
        <v>0</v>
      </c>
      <c r="BJ125" s="124">
        <f t="shared" si="687"/>
        <v>0</v>
      </c>
      <c r="BK125" s="121">
        <f t="shared" ref="BK125:BL125" si="1100">IFERROR(BK123/BK124,0)</f>
        <v>0</v>
      </c>
      <c r="BL125" s="122">
        <f t="shared" si="1100"/>
        <v>0</v>
      </c>
      <c r="BM125" s="124">
        <f t="shared" si="689"/>
        <v>0</v>
      </c>
    </row>
    <row r="126" ht="15.75" hidden="1" customHeight="1" outlineLevel="1">
      <c r="A126" s="2"/>
      <c r="B126" s="135" t="s">
        <v>51</v>
      </c>
      <c r="C126" s="107" t="s">
        <v>6</v>
      </c>
      <c r="D126" s="2"/>
      <c r="E126" s="108">
        <f t="shared" ref="E126:E127" si="1101">K126+N126+Q126</f>
        <v>0</v>
      </c>
      <c r="F126" s="109">
        <f t="shared" ref="F126:F127" si="1102">U126+X126+AA126+AD126+AG126+AJ126+AM126+AP126+AS126+AV126+AY126+BB126</f>
        <v>202000</v>
      </c>
      <c r="G126" s="109">
        <f t="shared" ref="G126:G127" si="1103">BF126+BI126+BL126</f>
        <v>66000</v>
      </c>
      <c r="H126" s="110">
        <f t="shared" ref="H126:H127" si="1104">SUM(E126:G126)</f>
        <v>268000</v>
      </c>
      <c r="I126" s="16"/>
      <c r="J126" s="108" t="s">
        <v>7</v>
      </c>
      <c r="K126" s="109"/>
      <c r="L126" s="110" t="s">
        <v>7</v>
      </c>
      <c r="M126" s="108" t="s">
        <v>7</v>
      </c>
      <c r="N126" s="109"/>
      <c r="O126" s="110" t="s">
        <v>7</v>
      </c>
      <c r="P126" s="108" t="s">
        <v>7</v>
      </c>
      <c r="Q126" s="109"/>
      <c r="R126" s="110" t="s">
        <v>7</v>
      </c>
      <c r="S126" s="2"/>
      <c r="T126" s="108" t="s">
        <v>7</v>
      </c>
      <c r="U126" s="109"/>
      <c r="V126" s="110" t="s">
        <v>7</v>
      </c>
      <c r="W126" s="108" t="s">
        <v>7</v>
      </c>
      <c r="X126" s="109"/>
      <c r="Y126" s="110" t="s">
        <v>7</v>
      </c>
      <c r="Z126" s="108"/>
      <c r="AA126" s="136">
        <v>0.0</v>
      </c>
      <c r="AB126" s="111">
        <f t="shared" si="78"/>
        <v>0</v>
      </c>
      <c r="AC126" s="125">
        <v>17500.0</v>
      </c>
      <c r="AD126" s="125">
        <v>17500.0</v>
      </c>
      <c r="AE126" s="111">
        <f t="shared" si="80"/>
        <v>0</v>
      </c>
      <c r="AF126" s="108">
        <v>17500.0</v>
      </c>
      <c r="AG126" s="109">
        <v>17500.0</v>
      </c>
      <c r="AH126" s="111">
        <f t="shared" si="82"/>
        <v>0</v>
      </c>
      <c r="AI126" s="108"/>
      <c r="AJ126" s="109"/>
      <c r="AK126" s="111">
        <f t="shared" si="84"/>
        <v>0</v>
      </c>
      <c r="AL126" s="108">
        <v>22000.0</v>
      </c>
      <c r="AM126" s="109">
        <v>22000.0</v>
      </c>
      <c r="AN126" s="111">
        <f t="shared" si="653"/>
        <v>0</v>
      </c>
      <c r="AO126" s="108">
        <v>23000.0</v>
      </c>
      <c r="AP126" s="109">
        <v>23000.0</v>
      </c>
      <c r="AQ126" s="111">
        <f t="shared" si="655"/>
        <v>0</v>
      </c>
      <c r="AR126" s="108">
        <v>26000.0</v>
      </c>
      <c r="AS126" s="109">
        <v>26000.0</v>
      </c>
      <c r="AT126" s="111">
        <f t="shared" si="657"/>
        <v>0</v>
      </c>
      <c r="AU126" s="108">
        <v>30000.0</v>
      </c>
      <c r="AV126" s="109">
        <v>30000.0</v>
      </c>
      <c r="AW126" s="111">
        <f t="shared" si="659"/>
        <v>0</v>
      </c>
      <c r="AX126" s="108">
        <v>33000.0</v>
      </c>
      <c r="AY126" s="109">
        <v>33000.0</v>
      </c>
      <c r="AZ126" s="111">
        <f t="shared" si="661"/>
        <v>0</v>
      </c>
      <c r="BA126" s="108">
        <v>33000.0</v>
      </c>
      <c r="BB126" s="109">
        <v>33000.0</v>
      </c>
      <c r="BC126" s="111">
        <f t="shared" si="663"/>
        <v>0</v>
      </c>
      <c r="BD126" s="16"/>
      <c r="BE126" s="108">
        <v>33000.0</v>
      </c>
      <c r="BF126" s="109">
        <v>33000.0</v>
      </c>
      <c r="BG126" s="111">
        <f t="shared" si="685"/>
        <v>0</v>
      </c>
      <c r="BH126" s="108">
        <v>33000.0</v>
      </c>
      <c r="BI126" s="109">
        <v>33000.0</v>
      </c>
      <c r="BJ126" s="111">
        <f t="shared" si="687"/>
        <v>0</v>
      </c>
      <c r="BK126" s="108"/>
      <c r="BL126" s="109"/>
      <c r="BM126" s="111">
        <f t="shared" si="689"/>
        <v>0</v>
      </c>
    </row>
    <row r="127" ht="15.75" hidden="1" customHeight="1" outlineLevel="1">
      <c r="A127" s="2"/>
      <c r="B127" s="20"/>
      <c r="C127" s="112" t="s">
        <v>8</v>
      </c>
      <c r="D127" s="2"/>
      <c r="E127" s="113">
        <f t="shared" si="1101"/>
        <v>0</v>
      </c>
      <c r="F127" s="114">
        <f t="shared" si="1102"/>
        <v>4250</v>
      </c>
      <c r="G127" s="114">
        <f t="shared" si="1103"/>
        <v>1340</v>
      </c>
      <c r="H127" s="115">
        <f t="shared" si="1104"/>
        <v>5590</v>
      </c>
      <c r="I127" s="16"/>
      <c r="J127" s="113" t="s">
        <v>7</v>
      </c>
      <c r="K127" s="114"/>
      <c r="L127" s="115" t="s">
        <v>7</v>
      </c>
      <c r="M127" s="113" t="s">
        <v>7</v>
      </c>
      <c r="N127" s="114"/>
      <c r="O127" s="115" t="s">
        <v>7</v>
      </c>
      <c r="P127" s="113" t="s">
        <v>7</v>
      </c>
      <c r="Q127" s="114"/>
      <c r="R127" s="115" t="s">
        <v>7</v>
      </c>
      <c r="S127" s="2"/>
      <c r="T127" s="113" t="s">
        <v>7</v>
      </c>
      <c r="U127" s="114"/>
      <c r="V127" s="115" t="s">
        <v>7</v>
      </c>
      <c r="W127" s="113" t="s">
        <v>7</v>
      </c>
      <c r="X127" s="114"/>
      <c r="Y127" s="115" t="s">
        <v>7</v>
      </c>
      <c r="Z127" s="113"/>
      <c r="AA127" s="116">
        <v>0.0</v>
      </c>
      <c r="AB127" s="119">
        <f t="shared" si="78"/>
        <v>0</v>
      </c>
      <c r="AC127" s="117">
        <v>320.0</v>
      </c>
      <c r="AD127" s="116">
        <v>320.0</v>
      </c>
      <c r="AE127" s="119">
        <f t="shared" si="80"/>
        <v>0</v>
      </c>
      <c r="AF127" s="113">
        <v>400.0</v>
      </c>
      <c r="AG127" s="114">
        <v>400.0</v>
      </c>
      <c r="AH127" s="119">
        <f t="shared" si="82"/>
        <v>0</v>
      </c>
      <c r="AI127" s="113"/>
      <c r="AJ127" s="114"/>
      <c r="AK127" s="119">
        <f t="shared" si="84"/>
        <v>0</v>
      </c>
      <c r="AL127" s="113">
        <v>470.0</v>
      </c>
      <c r="AM127" s="114">
        <v>470.0</v>
      </c>
      <c r="AN127" s="119">
        <f t="shared" si="653"/>
        <v>0</v>
      </c>
      <c r="AO127" s="113">
        <v>500.0</v>
      </c>
      <c r="AP127" s="114">
        <v>500.0</v>
      </c>
      <c r="AQ127" s="119">
        <f t="shared" si="655"/>
        <v>0</v>
      </c>
      <c r="AR127" s="113">
        <v>600.0</v>
      </c>
      <c r="AS127" s="114">
        <v>600.0</v>
      </c>
      <c r="AT127" s="119">
        <f t="shared" si="657"/>
        <v>0</v>
      </c>
      <c r="AU127" s="113">
        <v>620.0</v>
      </c>
      <c r="AV127" s="114">
        <v>620.0</v>
      </c>
      <c r="AW127" s="119">
        <f t="shared" si="659"/>
        <v>0</v>
      </c>
      <c r="AX127" s="113">
        <v>670.0</v>
      </c>
      <c r="AY127" s="114">
        <v>670.0</v>
      </c>
      <c r="AZ127" s="119">
        <f t="shared" si="661"/>
        <v>0</v>
      </c>
      <c r="BA127" s="113">
        <v>670.0</v>
      </c>
      <c r="BB127" s="114">
        <v>670.0</v>
      </c>
      <c r="BC127" s="119">
        <f t="shared" si="663"/>
        <v>0</v>
      </c>
      <c r="BD127" s="16"/>
      <c r="BE127" s="113">
        <v>670.0</v>
      </c>
      <c r="BF127" s="114">
        <v>670.0</v>
      </c>
      <c r="BG127" s="119">
        <f t="shared" si="685"/>
        <v>0</v>
      </c>
      <c r="BH127" s="113">
        <v>670.0</v>
      </c>
      <c r="BI127" s="114">
        <v>670.0</v>
      </c>
      <c r="BJ127" s="119">
        <f t="shared" si="687"/>
        <v>0</v>
      </c>
      <c r="BK127" s="113"/>
      <c r="BL127" s="114"/>
      <c r="BM127" s="119">
        <f t="shared" si="689"/>
        <v>0</v>
      </c>
    </row>
    <row r="128" ht="15.75" hidden="1" customHeight="1" outlineLevel="1">
      <c r="A128" s="2"/>
      <c r="B128" s="26"/>
      <c r="C128" s="120" t="s">
        <v>9</v>
      </c>
      <c r="D128" s="2"/>
      <c r="E128" s="121">
        <f t="shared" ref="E128:H128" si="1105">IFERROR(E126/E127,0)</f>
        <v>0</v>
      </c>
      <c r="F128" s="122">
        <f t="shared" si="1105"/>
        <v>47.52941176</v>
      </c>
      <c r="G128" s="122">
        <f t="shared" si="1105"/>
        <v>49.25373134</v>
      </c>
      <c r="H128" s="123">
        <f t="shared" si="1105"/>
        <v>47.94275492</v>
      </c>
      <c r="I128" s="31"/>
      <c r="J128" s="121" t="s">
        <v>7</v>
      </c>
      <c r="K128" s="122">
        <f>IFERROR(K126/K127,0)</f>
        <v>0</v>
      </c>
      <c r="L128" s="123" t="s">
        <v>7</v>
      </c>
      <c r="M128" s="121" t="s">
        <v>7</v>
      </c>
      <c r="N128" s="122">
        <f>IFERROR(N126/N127,0)</f>
        <v>0</v>
      </c>
      <c r="O128" s="123" t="s">
        <v>7</v>
      </c>
      <c r="P128" s="121" t="s">
        <v>7</v>
      </c>
      <c r="Q128" s="122">
        <f>IFERROR(Q126/Q127,0)</f>
        <v>0</v>
      </c>
      <c r="R128" s="123" t="s">
        <v>7</v>
      </c>
      <c r="S128" s="2"/>
      <c r="T128" s="121" t="s">
        <v>7</v>
      </c>
      <c r="U128" s="122">
        <f>IFERROR(U126/U127,0)</f>
        <v>0</v>
      </c>
      <c r="V128" s="123" t="s">
        <v>7</v>
      </c>
      <c r="W128" s="121" t="s">
        <v>7</v>
      </c>
      <c r="X128" s="122">
        <f>IFERROR(X126/X127,0)</f>
        <v>0</v>
      </c>
      <c r="Y128" s="123" t="s">
        <v>7</v>
      </c>
      <c r="Z128" s="121">
        <f t="shared" ref="Z128:AA128" si="1106">IFERROR(Z126/Z127,0)</f>
        <v>0</v>
      </c>
      <c r="AA128" s="122">
        <f t="shared" si="1106"/>
        <v>0</v>
      </c>
      <c r="AB128" s="124">
        <f t="shared" si="78"/>
        <v>0</v>
      </c>
      <c r="AC128" s="121">
        <f t="shared" ref="AC128:AD128" si="1107">IFERROR(AC126/AC127,0)</f>
        <v>54.6875</v>
      </c>
      <c r="AD128" s="122">
        <f t="shared" si="1107"/>
        <v>54.6875</v>
      </c>
      <c r="AE128" s="124">
        <f t="shared" si="80"/>
        <v>0</v>
      </c>
      <c r="AF128" s="121">
        <f t="shared" ref="AF128:AG128" si="1108">IFERROR(AF126/AF127,0)</f>
        <v>43.75</v>
      </c>
      <c r="AG128" s="122">
        <f t="shared" si="1108"/>
        <v>43.75</v>
      </c>
      <c r="AH128" s="124">
        <f t="shared" si="82"/>
        <v>0</v>
      </c>
      <c r="AI128" s="121">
        <f t="shared" ref="AI128:AJ128" si="1109">IFERROR(AI126/AI127,0)</f>
        <v>0</v>
      </c>
      <c r="AJ128" s="122">
        <f t="shared" si="1109"/>
        <v>0</v>
      </c>
      <c r="AK128" s="124">
        <f t="shared" si="84"/>
        <v>0</v>
      </c>
      <c r="AL128" s="121">
        <f t="shared" ref="AL128:AM128" si="1110">IFERROR(AL126/AL127,0)</f>
        <v>46.80851064</v>
      </c>
      <c r="AM128" s="122">
        <f t="shared" si="1110"/>
        <v>46.80851064</v>
      </c>
      <c r="AN128" s="124">
        <f t="shared" si="653"/>
        <v>0</v>
      </c>
      <c r="AO128" s="121">
        <f t="shared" ref="AO128:AP128" si="1111">IFERROR(AO126/AO127,0)</f>
        <v>46</v>
      </c>
      <c r="AP128" s="122">
        <f t="shared" si="1111"/>
        <v>46</v>
      </c>
      <c r="AQ128" s="124">
        <f t="shared" si="655"/>
        <v>0</v>
      </c>
      <c r="AR128" s="121">
        <f t="shared" ref="AR128:AS128" si="1112">IFERROR(AR126/AR127,0)</f>
        <v>43.33333333</v>
      </c>
      <c r="AS128" s="122">
        <f t="shared" si="1112"/>
        <v>43.33333333</v>
      </c>
      <c r="AT128" s="124">
        <f t="shared" si="657"/>
        <v>0</v>
      </c>
      <c r="AU128" s="121">
        <f t="shared" ref="AU128:AV128" si="1113">IFERROR(AU126/AU127,0)</f>
        <v>48.38709677</v>
      </c>
      <c r="AV128" s="122">
        <f t="shared" si="1113"/>
        <v>48.38709677</v>
      </c>
      <c r="AW128" s="124">
        <f t="shared" si="659"/>
        <v>0</v>
      </c>
      <c r="AX128" s="121">
        <f t="shared" ref="AX128:AY128" si="1114">IFERROR(AX126/AX127,0)</f>
        <v>49.25373134</v>
      </c>
      <c r="AY128" s="122">
        <f t="shared" si="1114"/>
        <v>49.25373134</v>
      </c>
      <c r="AZ128" s="124">
        <f t="shared" si="661"/>
        <v>0</v>
      </c>
      <c r="BA128" s="121">
        <f t="shared" ref="BA128:BB128" si="1115">IFERROR(BA126/BA127,0)</f>
        <v>49.25373134</v>
      </c>
      <c r="BB128" s="122">
        <f t="shared" si="1115"/>
        <v>49.25373134</v>
      </c>
      <c r="BC128" s="124">
        <f t="shared" si="663"/>
        <v>0</v>
      </c>
      <c r="BD128" s="31"/>
      <c r="BE128" s="121">
        <f t="shared" ref="BE128:BF128" si="1116">IFERROR(BE126/BE127,0)</f>
        <v>49.25373134</v>
      </c>
      <c r="BF128" s="122">
        <f t="shared" si="1116"/>
        <v>49.25373134</v>
      </c>
      <c r="BG128" s="124">
        <f t="shared" si="685"/>
        <v>0</v>
      </c>
      <c r="BH128" s="121">
        <f t="shared" ref="BH128:BI128" si="1117">IFERROR(BH126/BH127,0)</f>
        <v>49.25373134</v>
      </c>
      <c r="BI128" s="122">
        <f t="shared" si="1117"/>
        <v>49.25373134</v>
      </c>
      <c r="BJ128" s="124">
        <f t="shared" si="687"/>
        <v>0</v>
      </c>
      <c r="BK128" s="121">
        <f t="shared" ref="BK128:BL128" si="1118">IFERROR(BK126/BK127,0)</f>
        <v>0</v>
      </c>
      <c r="BL128" s="122">
        <f t="shared" si="1118"/>
        <v>0</v>
      </c>
      <c r="BM128" s="124">
        <f t="shared" si="689"/>
        <v>0</v>
      </c>
    </row>
    <row r="129" ht="15.75" hidden="1" customHeight="1" outlineLevel="1">
      <c r="A129" s="2"/>
      <c r="B129" s="135" t="s">
        <v>52</v>
      </c>
      <c r="C129" s="107" t="s">
        <v>6</v>
      </c>
      <c r="D129" s="2"/>
      <c r="E129" s="108">
        <f t="shared" ref="E129:E130" si="1119">K129+N129+Q129</f>
        <v>0</v>
      </c>
      <c r="F129" s="109">
        <f t="shared" ref="F129:F130" si="1120">U129+X129+AA129+AD129+AG129+AJ129+AM129+AP129+AS129+AV129+AY129+BB129</f>
        <v>10778</v>
      </c>
      <c r="G129" s="109">
        <f t="shared" ref="G129:G130" si="1121">BF129+BI129+BL129</f>
        <v>0</v>
      </c>
      <c r="H129" s="110">
        <f t="shared" ref="H129:H130" si="1122">SUM(E129:G129)</f>
        <v>10778</v>
      </c>
      <c r="I129" s="16"/>
      <c r="J129" s="108" t="s">
        <v>7</v>
      </c>
      <c r="K129" s="109"/>
      <c r="L129" s="110" t="s">
        <v>7</v>
      </c>
      <c r="M129" s="108" t="s">
        <v>7</v>
      </c>
      <c r="N129" s="109"/>
      <c r="O129" s="110" t="s">
        <v>7</v>
      </c>
      <c r="P129" s="108" t="s">
        <v>7</v>
      </c>
      <c r="Q129" s="109"/>
      <c r="R129" s="110" t="s">
        <v>7</v>
      </c>
      <c r="S129" s="2"/>
      <c r="T129" s="108" t="s">
        <v>7</v>
      </c>
      <c r="U129" s="109"/>
      <c r="V129" s="110" t="s">
        <v>7</v>
      </c>
      <c r="W129" s="108" t="s">
        <v>7</v>
      </c>
      <c r="X129" s="109"/>
      <c r="Y129" s="110" t="s">
        <v>7</v>
      </c>
      <c r="Z129" s="108"/>
      <c r="AA129" s="136">
        <v>0.0</v>
      </c>
      <c r="AB129" s="111">
        <f t="shared" si="78"/>
        <v>0</v>
      </c>
      <c r="AC129" s="125">
        <v>10778.0</v>
      </c>
      <c r="AD129" s="125">
        <v>10778.0</v>
      </c>
      <c r="AE129" s="111">
        <f t="shared" si="80"/>
        <v>0</v>
      </c>
      <c r="AF129" s="108"/>
      <c r="AG129" s="109"/>
      <c r="AH129" s="111">
        <f t="shared" si="82"/>
        <v>0</v>
      </c>
      <c r="AI129" s="108"/>
      <c r="AJ129" s="109"/>
      <c r="AK129" s="111">
        <f t="shared" si="84"/>
        <v>0</v>
      </c>
      <c r="AL129" s="108"/>
      <c r="AM129" s="109"/>
      <c r="AN129" s="111">
        <f t="shared" si="653"/>
        <v>0</v>
      </c>
      <c r="AO129" s="108"/>
      <c r="AP129" s="109"/>
      <c r="AQ129" s="111">
        <f t="shared" si="655"/>
        <v>0</v>
      </c>
      <c r="AR129" s="108"/>
      <c r="AS129" s="109"/>
      <c r="AT129" s="111">
        <f t="shared" si="657"/>
        <v>0</v>
      </c>
      <c r="AU129" s="108"/>
      <c r="AV129" s="109"/>
      <c r="AW129" s="111">
        <f t="shared" si="659"/>
        <v>0</v>
      </c>
      <c r="AX129" s="108"/>
      <c r="AY129" s="109"/>
      <c r="AZ129" s="111">
        <f t="shared" si="661"/>
        <v>0</v>
      </c>
      <c r="BA129" s="108"/>
      <c r="BB129" s="109"/>
      <c r="BC129" s="111">
        <f t="shared" si="663"/>
        <v>0</v>
      </c>
      <c r="BD129" s="16"/>
      <c r="BE129" s="108"/>
      <c r="BF129" s="109"/>
      <c r="BG129" s="111">
        <f t="shared" si="685"/>
        <v>0</v>
      </c>
      <c r="BH129" s="108"/>
      <c r="BI129" s="109"/>
      <c r="BJ129" s="111">
        <f t="shared" si="687"/>
        <v>0</v>
      </c>
      <c r="BK129" s="108"/>
      <c r="BL129" s="109"/>
      <c r="BM129" s="111">
        <f t="shared" si="689"/>
        <v>0</v>
      </c>
    </row>
    <row r="130" ht="15.75" hidden="1" customHeight="1" outlineLevel="1">
      <c r="A130" s="2"/>
      <c r="B130" s="20"/>
      <c r="C130" s="112" t="s">
        <v>8</v>
      </c>
      <c r="D130" s="2"/>
      <c r="E130" s="113">
        <f t="shared" si="1119"/>
        <v>0</v>
      </c>
      <c r="F130" s="114">
        <f t="shared" si="1120"/>
        <v>100</v>
      </c>
      <c r="G130" s="114">
        <f t="shared" si="1121"/>
        <v>0</v>
      </c>
      <c r="H130" s="115">
        <f t="shared" si="1122"/>
        <v>100</v>
      </c>
      <c r="I130" s="16"/>
      <c r="J130" s="113" t="s">
        <v>7</v>
      </c>
      <c r="K130" s="114"/>
      <c r="L130" s="115" t="s">
        <v>7</v>
      </c>
      <c r="M130" s="113" t="s">
        <v>7</v>
      </c>
      <c r="N130" s="114"/>
      <c r="O130" s="115" t="s">
        <v>7</v>
      </c>
      <c r="P130" s="113" t="s">
        <v>7</v>
      </c>
      <c r="Q130" s="114"/>
      <c r="R130" s="115" t="s">
        <v>7</v>
      </c>
      <c r="S130" s="2"/>
      <c r="T130" s="113" t="s">
        <v>7</v>
      </c>
      <c r="U130" s="114"/>
      <c r="V130" s="115" t="s">
        <v>7</v>
      </c>
      <c r="W130" s="113" t="s">
        <v>7</v>
      </c>
      <c r="X130" s="114"/>
      <c r="Y130" s="115" t="s">
        <v>7</v>
      </c>
      <c r="Z130" s="113"/>
      <c r="AA130" s="116">
        <v>0.0</v>
      </c>
      <c r="AB130" s="119">
        <f t="shared" si="78"/>
        <v>0</v>
      </c>
      <c r="AC130" s="117">
        <v>100.0</v>
      </c>
      <c r="AD130" s="117">
        <v>100.0</v>
      </c>
      <c r="AE130" s="119">
        <f t="shared" si="80"/>
        <v>0</v>
      </c>
      <c r="AF130" s="113"/>
      <c r="AG130" s="114"/>
      <c r="AH130" s="119">
        <f t="shared" si="82"/>
        <v>0</v>
      </c>
      <c r="AI130" s="113"/>
      <c r="AJ130" s="114"/>
      <c r="AK130" s="119">
        <f t="shared" si="84"/>
        <v>0</v>
      </c>
      <c r="AL130" s="113"/>
      <c r="AM130" s="114"/>
      <c r="AN130" s="119">
        <f t="shared" si="653"/>
        <v>0</v>
      </c>
      <c r="AO130" s="113"/>
      <c r="AP130" s="114"/>
      <c r="AQ130" s="119">
        <f t="shared" si="655"/>
        <v>0</v>
      </c>
      <c r="AR130" s="113"/>
      <c r="AS130" s="114"/>
      <c r="AT130" s="119">
        <f t="shared" si="657"/>
        <v>0</v>
      </c>
      <c r="AU130" s="113"/>
      <c r="AV130" s="114"/>
      <c r="AW130" s="119">
        <f t="shared" si="659"/>
        <v>0</v>
      </c>
      <c r="AX130" s="113"/>
      <c r="AY130" s="114"/>
      <c r="AZ130" s="119">
        <f t="shared" si="661"/>
        <v>0</v>
      </c>
      <c r="BA130" s="113"/>
      <c r="BB130" s="114"/>
      <c r="BC130" s="119">
        <f t="shared" si="663"/>
        <v>0</v>
      </c>
      <c r="BD130" s="16"/>
      <c r="BE130" s="113"/>
      <c r="BF130" s="114"/>
      <c r="BG130" s="119">
        <f t="shared" si="685"/>
        <v>0</v>
      </c>
      <c r="BH130" s="113"/>
      <c r="BI130" s="114"/>
      <c r="BJ130" s="119">
        <f t="shared" si="687"/>
        <v>0</v>
      </c>
      <c r="BK130" s="113"/>
      <c r="BL130" s="114"/>
      <c r="BM130" s="119">
        <f t="shared" si="689"/>
        <v>0</v>
      </c>
    </row>
    <row r="131" ht="15.75" hidden="1" customHeight="1" outlineLevel="1">
      <c r="A131" s="2"/>
      <c r="B131" s="26"/>
      <c r="C131" s="120" t="s">
        <v>9</v>
      </c>
      <c r="D131" s="2"/>
      <c r="E131" s="121">
        <f t="shared" ref="E131:H131" si="1123">IFERROR(E129/E130,0)</f>
        <v>0</v>
      </c>
      <c r="F131" s="122">
        <f t="shared" si="1123"/>
        <v>107.78</v>
      </c>
      <c r="G131" s="122">
        <f t="shared" si="1123"/>
        <v>0</v>
      </c>
      <c r="H131" s="123">
        <f t="shared" si="1123"/>
        <v>107.78</v>
      </c>
      <c r="I131" s="31"/>
      <c r="J131" s="121" t="s">
        <v>7</v>
      </c>
      <c r="K131" s="122">
        <f>IFERROR(K129/K130,0)</f>
        <v>0</v>
      </c>
      <c r="L131" s="123" t="s">
        <v>7</v>
      </c>
      <c r="M131" s="121" t="s">
        <v>7</v>
      </c>
      <c r="N131" s="122">
        <f>IFERROR(N129/N130,0)</f>
        <v>0</v>
      </c>
      <c r="O131" s="123" t="s">
        <v>7</v>
      </c>
      <c r="P131" s="121" t="s">
        <v>7</v>
      </c>
      <c r="Q131" s="122">
        <f>IFERROR(Q129/Q130,0)</f>
        <v>0</v>
      </c>
      <c r="R131" s="123" t="s">
        <v>7</v>
      </c>
      <c r="S131" s="2"/>
      <c r="T131" s="121" t="s">
        <v>7</v>
      </c>
      <c r="U131" s="122">
        <f>IFERROR(U129/U130,0)</f>
        <v>0</v>
      </c>
      <c r="V131" s="123" t="s">
        <v>7</v>
      </c>
      <c r="W131" s="121" t="s">
        <v>7</v>
      </c>
      <c r="X131" s="122">
        <f>IFERROR(X129/X130,0)</f>
        <v>0</v>
      </c>
      <c r="Y131" s="123" t="s">
        <v>7</v>
      </c>
      <c r="Z131" s="121">
        <f t="shared" ref="Z131:AA131" si="1124">IFERROR(Z129/Z130,0)</f>
        <v>0</v>
      </c>
      <c r="AA131" s="122">
        <f t="shared" si="1124"/>
        <v>0</v>
      </c>
      <c r="AB131" s="124">
        <f t="shared" si="78"/>
        <v>0</v>
      </c>
      <c r="AC131" s="121">
        <f t="shared" ref="AC131:AD131" si="1125">IFERROR(AC129/AC130,0)</f>
        <v>107.78</v>
      </c>
      <c r="AD131" s="122">
        <f t="shared" si="1125"/>
        <v>107.78</v>
      </c>
      <c r="AE131" s="124">
        <f t="shared" si="80"/>
        <v>0</v>
      </c>
      <c r="AF131" s="121">
        <f t="shared" ref="AF131:AG131" si="1126">IFERROR(AF129/AF130,0)</f>
        <v>0</v>
      </c>
      <c r="AG131" s="122">
        <f t="shared" si="1126"/>
        <v>0</v>
      </c>
      <c r="AH131" s="124">
        <f t="shared" si="82"/>
        <v>0</v>
      </c>
      <c r="AI131" s="121">
        <f t="shared" ref="AI131:AJ131" si="1127">IFERROR(AI129/AI130,0)</f>
        <v>0</v>
      </c>
      <c r="AJ131" s="122">
        <f t="shared" si="1127"/>
        <v>0</v>
      </c>
      <c r="AK131" s="124">
        <f t="shared" si="84"/>
        <v>0</v>
      </c>
      <c r="AL131" s="121">
        <f t="shared" ref="AL131:AM131" si="1128">IFERROR(AL129/AL130,0)</f>
        <v>0</v>
      </c>
      <c r="AM131" s="122">
        <f t="shared" si="1128"/>
        <v>0</v>
      </c>
      <c r="AN131" s="124">
        <f t="shared" si="653"/>
        <v>0</v>
      </c>
      <c r="AO131" s="121">
        <f t="shared" ref="AO131:AP131" si="1129">IFERROR(AO129/AO130,0)</f>
        <v>0</v>
      </c>
      <c r="AP131" s="122">
        <f t="shared" si="1129"/>
        <v>0</v>
      </c>
      <c r="AQ131" s="124">
        <f t="shared" si="655"/>
        <v>0</v>
      </c>
      <c r="AR131" s="121">
        <f t="shared" ref="AR131:AS131" si="1130">IFERROR(AR129/AR130,0)</f>
        <v>0</v>
      </c>
      <c r="AS131" s="122">
        <f t="shared" si="1130"/>
        <v>0</v>
      </c>
      <c r="AT131" s="124">
        <f t="shared" si="657"/>
        <v>0</v>
      </c>
      <c r="AU131" s="121">
        <f t="shared" ref="AU131:AV131" si="1131">IFERROR(AU129/AU130,0)</f>
        <v>0</v>
      </c>
      <c r="AV131" s="122">
        <f t="shared" si="1131"/>
        <v>0</v>
      </c>
      <c r="AW131" s="124">
        <f t="shared" si="659"/>
        <v>0</v>
      </c>
      <c r="AX131" s="121">
        <f t="shared" ref="AX131:AY131" si="1132">IFERROR(AX129/AX130,0)</f>
        <v>0</v>
      </c>
      <c r="AY131" s="122">
        <f t="shared" si="1132"/>
        <v>0</v>
      </c>
      <c r="AZ131" s="124">
        <f t="shared" si="661"/>
        <v>0</v>
      </c>
      <c r="BA131" s="121">
        <f t="shared" ref="BA131:BB131" si="1133">IFERROR(BA129/BA130,0)</f>
        <v>0</v>
      </c>
      <c r="BB131" s="122">
        <f t="shared" si="1133"/>
        <v>0</v>
      </c>
      <c r="BC131" s="124">
        <f t="shared" si="663"/>
        <v>0</v>
      </c>
      <c r="BD131" s="31"/>
      <c r="BE131" s="121">
        <f t="shared" ref="BE131:BF131" si="1134">IFERROR(BE129/BE130,0)</f>
        <v>0</v>
      </c>
      <c r="BF131" s="122">
        <f t="shared" si="1134"/>
        <v>0</v>
      </c>
      <c r="BG131" s="124">
        <f t="shared" si="685"/>
        <v>0</v>
      </c>
      <c r="BH131" s="121">
        <f t="shared" ref="BH131:BI131" si="1135">IFERROR(BH129/BH130,0)</f>
        <v>0</v>
      </c>
      <c r="BI131" s="122">
        <f t="shared" si="1135"/>
        <v>0</v>
      </c>
      <c r="BJ131" s="124">
        <f t="shared" si="687"/>
        <v>0</v>
      </c>
      <c r="BK131" s="121">
        <f t="shared" ref="BK131:BL131" si="1136">IFERROR(BK129/BK130,0)</f>
        <v>0</v>
      </c>
      <c r="BL131" s="122">
        <f t="shared" si="1136"/>
        <v>0</v>
      </c>
      <c r="BM131" s="124">
        <f t="shared" si="689"/>
        <v>0</v>
      </c>
    </row>
    <row r="132" ht="15.75" hidden="1" customHeight="1" outlineLevel="1">
      <c r="A132" s="141"/>
      <c r="B132" s="140" t="s">
        <v>53</v>
      </c>
      <c r="C132" s="142" t="s">
        <v>6</v>
      </c>
      <c r="D132" s="141"/>
      <c r="E132" s="143">
        <f t="shared" ref="E132:E133" si="1137">K132+N132+Q132</f>
        <v>0</v>
      </c>
      <c r="F132" s="144">
        <f t="shared" ref="F132:F133" si="1138">U132+X132+AA132+AD132+AG132+AJ132+AM132+AP132+AS132+AV132+AY132+BB132</f>
        <v>608347.56</v>
      </c>
      <c r="G132" s="144">
        <f t="shared" ref="G132:G133" si="1139">BF132+BI132+BL132</f>
        <v>0</v>
      </c>
      <c r="H132" s="145">
        <f t="shared" ref="H132:H133" si="1140">SUM(E132:G132)</f>
        <v>608347.56</v>
      </c>
      <c r="I132" s="146"/>
      <c r="J132" s="143" t="s">
        <v>7</v>
      </c>
      <c r="K132" s="144"/>
      <c r="L132" s="145" t="s">
        <v>7</v>
      </c>
      <c r="M132" s="143" t="s">
        <v>7</v>
      </c>
      <c r="N132" s="144"/>
      <c r="O132" s="145" t="s">
        <v>7</v>
      </c>
      <c r="P132" s="143" t="s">
        <v>7</v>
      </c>
      <c r="Q132" s="144"/>
      <c r="R132" s="145" t="s">
        <v>7</v>
      </c>
      <c r="S132" s="141"/>
      <c r="T132" s="143" t="s">
        <v>7</v>
      </c>
      <c r="U132" s="144"/>
      <c r="V132" s="145" t="s">
        <v>7</v>
      </c>
      <c r="W132" s="143" t="s">
        <v>7</v>
      </c>
      <c r="X132" s="144"/>
      <c r="Y132" s="145" t="s">
        <v>7</v>
      </c>
      <c r="Z132" s="143"/>
      <c r="AA132" s="144"/>
      <c r="AB132" s="147">
        <f t="shared" si="78"/>
        <v>0</v>
      </c>
      <c r="AC132" s="125">
        <v>50705.0</v>
      </c>
      <c r="AD132" s="136">
        <v>50705.0</v>
      </c>
      <c r="AE132" s="147">
        <f t="shared" si="80"/>
        <v>0</v>
      </c>
      <c r="AF132" s="108">
        <v>69705.32</v>
      </c>
      <c r="AG132" s="109">
        <v>69705.32</v>
      </c>
      <c r="AH132" s="147">
        <f t="shared" si="82"/>
        <v>0</v>
      </c>
      <c r="AI132" s="108">
        <v>69705.32</v>
      </c>
      <c r="AJ132" s="109">
        <v>69705.32</v>
      </c>
      <c r="AK132" s="147">
        <f t="shared" si="84"/>
        <v>0</v>
      </c>
      <c r="AL132" s="108">
        <v>69705.32</v>
      </c>
      <c r="AM132" s="109">
        <v>69705.32</v>
      </c>
      <c r="AN132" s="147">
        <f t="shared" si="653"/>
        <v>0</v>
      </c>
      <c r="AO132" s="108">
        <v>69705.32</v>
      </c>
      <c r="AP132" s="109">
        <v>69705.32</v>
      </c>
      <c r="AQ132" s="147">
        <f t="shared" si="655"/>
        <v>0</v>
      </c>
      <c r="AR132" s="108">
        <v>69705.32</v>
      </c>
      <c r="AS132" s="109">
        <v>69705.32</v>
      </c>
      <c r="AT132" s="147">
        <f t="shared" si="657"/>
        <v>0</v>
      </c>
      <c r="AU132" s="108">
        <v>69705.32</v>
      </c>
      <c r="AV132" s="109">
        <v>69705.32</v>
      </c>
      <c r="AW132" s="147">
        <f t="shared" si="659"/>
        <v>0</v>
      </c>
      <c r="AX132" s="108">
        <v>69705.32</v>
      </c>
      <c r="AY132" s="109">
        <v>69705.32</v>
      </c>
      <c r="AZ132" s="147">
        <f t="shared" si="661"/>
        <v>0</v>
      </c>
      <c r="BA132" s="108">
        <v>69705.32</v>
      </c>
      <c r="BB132" s="109">
        <v>69705.32</v>
      </c>
      <c r="BC132" s="147">
        <f t="shared" si="663"/>
        <v>0</v>
      </c>
      <c r="BD132" s="146"/>
      <c r="BE132" s="143"/>
      <c r="BF132" s="144"/>
      <c r="BG132" s="147">
        <f t="shared" si="685"/>
        <v>0</v>
      </c>
      <c r="BH132" s="143"/>
      <c r="BI132" s="144"/>
      <c r="BJ132" s="147">
        <f t="shared" si="687"/>
        <v>0</v>
      </c>
      <c r="BK132" s="143"/>
      <c r="BL132" s="144"/>
      <c r="BM132" s="147">
        <f t="shared" si="689"/>
        <v>0</v>
      </c>
    </row>
    <row r="133" ht="15.75" hidden="1" customHeight="1" outlineLevel="1">
      <c r="A133" s="2"/>
      <c r="B133" s="20"/>
      <c r="C133" s="112" t="s">
        <v>8</v>
      </c>
      <c r="D133" s="2"/>
      <c r="E133" s="113">
        <f t="shared" si="1137"/>
        <v>0</v>
      </c>
      <c r="F133" s="114">
        <f t="shared" si="1138"/>
        <v>3041.7378</v>
      </c>
      <c r="G133" s="114">
        <f t="shared" si="1139"/>
        <v>0</v>
      </c>
      <c r="H133" s="115">
        <f t="shared" si="1140"/>
        <v>3041.7378</v>
      </c>
      <c r="I133" s="16"/>
      <c r="J133" s="113" t="s">
        <v>7</v>
      </c>
      <c r="K133" s="114"/>
      <c r="L133" s="115" t="s">
        <v>7</v>
      </c>
      <c r="M133" s="113" t="s">
        <v>7</v>
      </c>
      <c r="N133" s="114"/>
      <c r="O133" s="115" t="s">
        <v>7</v>
      </c>
      <c r="P133" s="113" t="s">
        <v>7</v>
      </c>
      <c r="Q133" s="114"/>
      <c r="R133" s="115" t="s">
        <v>7</v>
      </c>
      <c r="S133" s="2"/>
      <c r="T133" s="113" t="s">
        <v>7</v>
      </c>
      <c r="U133" s="114"/>
      <c r="V133" s="115" t="s">
        <v>7</v>
      </c>
      <c r="W133" s="113" t="s">
        <v>7</v>
      </c>
      <c r="X133" s="114"/>
      <c r="Y133" s="115" t="s">
        <v>7</v>
      </c>
      <c r="Z133" s="113"/>
      <c r="AA133" s="114"/>
      <c r="AB133" s="119">
        <f t="shared" si="78"/>
        <v>0</v>
      </c>
      <c r="AC133" s="113">
        <f t="shared" ref="AC133:AD133" si="1141">AC132/200</f>
        <v>253.525</v>
      </c>
      <c r="AD133" s="114">
        <f t="shared" si="1141"/>
        <v>253.525</v>
      </c>
      <c r="AE133" s="119">
        <f t="shared" si="80"/>
        <v>0</v>
      </c>
      <c r="AF133" s="113">
        <f t="shared" ref="AF133:AG133" si="1142">AF132/200</f>
        <v>348.5266</v>
      </c>
      <c r="AG133" s="114">
        <f t="shared" si="1142"/>
        <v>348.5266</v>
      </c>
      <c r="AH133" s="119">
        <f t="shared" si="82"/>
        <v>0</v>
      </c>
      <c r="AI133" s="113">
        <f t="shared" ref="AI133:AJ133" si="1143">AI132/200</f>
        <v>348.5266</v>
      </c>
      <c r="AJ133" s="114">
        <f t="shared" si="1143"/>
        <v>348.5266</v>
      </c>
      <c r="AK133" s="119">
        <f t="shared" si="84"/>
        <v>0</v>
      </c>
      <c r="AL133" s="113">
        <f t="shared" ref="AL133:AM133" si="1144">AL132/200</f>
        <v>348.5266</v>
      </c>
      <c r="AM133" s="114">
        <f t="shared" si="1144"/>
        <v>348.5266</v>
      </c>
      <c r="AN133" s="119">
        <f t="shared" si="653"/>
        <v>0</v>
      </c>
      <c r="AO133" s="113">
        <f t="shared" ref="AO133:AP133" si="1145">AO132/200</f>
        <v>348.5266</v>
      </c>
      <c r="AP133" s="114">
        <f t="shared" si="1145"/>
        <v>348.5266</v>
      </c>
      <c r="AQ133" s="119">
        <f t="shared" si="655"/>
        <v>0</v>
      </c>
      <c r="AR133" s="113">
        <f t="shared" ref="AR133:AS133" si="1146">AR132/200</f>
        <v>348.5266</v>
      </c>
      <c r="AS133" s="114">
        <f t="shared" si="1146"/>
        <v>348.5266</v>
      </c>
      <c r="AT133" s="119">
        <f t="shared" si="657"/>
        <v>0</v>
      </c>
      <c r="AU133" s="113">
        <f t="shared" ref="AU133:AV133" si="1147">AU132/200</f>
        <v>348.5266</v>
      </c>
      <c r="AV133" s="114">
        <f t="shared" si="1147"/>
        <v>348.5266</v>
      </c>
      <c r="AW133" s="119">
        <f t="shared" si="659"/>
        <v>0</v>
      </c>
      <c r="AX133" s="113">
        <f t="shared" ref="AX133:AY133" si="1148">AX132/200</f>
        <v>348.5266</v>
      </c>
      <c r="AY133" s="114">
        <f t="shared" si="1148"/>
        <v>348.5266</v>
      </c>
      <c r="AZ133" s="119">
        <f t="shared" si="661"/>
        <v>0</v>
      </c>
      <c r="BA133" s="113">
        <f t="shared" ref="BA133:BB133" si="1149">BA132/200</f>
        <v>348.5266</v>
      </c>
      <c r="BB133" s="114">
        <f t="shared" si="1149"/>
        <v>348.5266</v>
      </c>
      <c r="BC133" s="119">
        <f t="shared" si="663"/>
        <v>0</v>
      </c>
      <c r="BD133" s="16"/>
      <c r="BE133" s="113"/>
      <c r="BF133" s="114"/>
      <c r="BG133" s="119">
        <f t="shared" si="685"/>
        <v>0</v>
      </c>
      <c r="BH133" s="113"/>
      <c r="BI133" s="114"/>
      <c r="BJ133" s="119">
        <f t="shared" si="687"/>
        <v>0</v>
      </c>
      <c r="BK133" s="113"/>
      <c r="BL133" s="114"/>
      <c r="BM133" s="119">
        <f t="shared" si="689"/>
        <v>0</v>
      </c>
    </row>
    <row r="134" ht="15.75" hidden="1" customHeight="1" outlineLevel="1">
      <c r="A134" s="2"/>
      <c r="B134" s="26"/>
      <c r="C134" s="120" t="s">
        <v>9</v>
      </c>
      <c r="D134" s="2"/>
      <c r="E134" s="121">
        <f t="shared" ref="E134:H134" si="1150">IFERROR(E132/E133,0)</f>
        <v>0</v>
      </c>
      <c r="F134" s="122">
        <f t="shared" si="1150"/>
        <v>200</v>
      </c>
      <c r="G134" s="122">
        <f t="shared" si="1150"/>
        <v>0</v>
      </c>
      <c r="H134" s="123">
        <f t="shared" si="1150"/>
        <v>200</v>
      </c>
      <c r="I134" s="31"/>
      <c r="J134" s="121" t="s">
        <v>7</v>
      </c>
      <c r="K134" s="122">
        <f>IFERROR(K132/K133,0)</f>
        <v>0</v>
      </c>
      <c r="L134" s="123" t="s">
        <v>7</v>
      </c>
      <c r="M134" s="121" t="s">
        <v>7</v>
      </c>
      <c r="N134" s="122">
        <f>IFERROR(N132/N133,0)</f>
        <v>0</v>
      </c>
      <c r="O134" s="123" t="s">
        <v>7</v>
      </c>
      <c r="P134" s="121" t="s">
        <v>7</v>
      </c>
      <c r="Q134" s="122">
        <f>IFERROR(Q132/Q133,0)</f>
        <v>0</v>
      </c>
      <c r="R134" s="123" t="s">
        <v>7</v>
      </c>
      <c r="S134" s="2"/>
      <c r="T134" s="121" t="s">
        <v>7</v>
      </c>
      <c r="U134" s="122">
        <f>IFERROR(U132/U133,0)</f>
        <v>0</v>
      </c>
      <c r="V134" s="123" t="s">
        <v>7</v>
      </c>
      <c r="W134" s="121" t="s">
        <v>7</v>
      </c>
      <c r="X134" s="122">
        <f>IFERROR(X132/X133,0)</f>
        <v>0</v>
      </c>
      <c r="Y134" s="123" t="s">
        <v>7</v>
      </c>
      <c r="Z134" s="121">
        <f t="shared" ref="Z134:AA134" si="1151">IFERROR(Z132/Z133,0)</f>
        <v>0</v>
      </c>
      <c r="AA134" s="122">
        <f t="shared" si="1151"/>
        <v>0</v>
      </c>
      <c r="AB134" s="124">
        <f t="shared" si="78"/>
        <v>0</v>
      </c>
      <c r="AC134" s="121">
        <f t="shared" ref="AC134:AD134" si="1152">IFERROR(AC132/AC133,0)</f>
        <v>200</v>
      </c>
      <c r="AD134" s="122">
        <f t="shared" si="1152"/>
        <v>200</v>
      </c>
      <c r="AE134" s="124">
        <f t="shared" si="80"/>
        <v>0</v>
      </c>
      <c r="AF134" s="121">
        <f t="shared" ref="AF134:AG134" si="1153">IFERROR(AF132/AF133,0)</f>
        <v>200</v>
      </c>
      <c r="AG134" s="122">
        <f t="shared" si="1153"/>
        <v>200</v>
      </c>
      <c r="AH134" s="124">
        <f t="shared" si="82"/>
        <v>0</v>
      </c>
      <c r="AI134" s="121">
        <f t="shared" ref="AI134:AJ134" si="1154">IFERROR(AI132/AI133,0)</f>
        <v>200</v>
      </c>
      <c r="AJ134" s="122">
        <f t="shared" si="1154"/>
        <v>200</v>
      </c>
      <c r="AK134" s="124">
        <f t="shared" si="84"/>
        <v>0</v>
      </c>
      <c r="AL134" s="121">
        <f t="shared" ref="AL134:AM134" si="1155">IFERROR(AL132/AL133,0)</f>
        <v>200</v>
      </c>
      <c r="AM134" s="122">
        <f t="shared" si="1155"/>
        <v>200</v>
      </c>
      <c r="AN134" s="124">
        <f t="shared" si="653"/>
        <v>0</v>
      </c>
      <c r="AO134" s="121">
        <f t="shared" ref="AO134:AP134" si="1156">IFERROR(AO132/AO133,0)</f>
        <v>200</v>
      </c>
      <c r="AP134" s="122">
        <f t="shared" si="1156"/>
        <v>200</v>
      </c>
      <c r="AQ134" s="124">
        <f t="shared" si="655"/>
        <v>0</v>
      </c>
      <c r="AR134" s="121">
        <f t="shared" ref="AR134:AS134" si="1157">IFERROR(AR132/AR133,0)</f>
        <v>200</v>
      </c>
      <c r="AS134" s="122">
        <f t="shared" si="1157"/>
        <v>200</v>
      </c>
      <c r="AT134" s="124">
        <f t="shared" si="657"/>
        <v>0</v>
      </c>
      <c r="AU134" s="121">
        <f t="shared" ref="AU134:AV134" si="1158">IFERROR(AU132/AU133,0)</f>
        <v>200</v>
      </c>
      <c r="AV134" s="122">
        <f t="shared" si="1158"/>
        <v>200</v>
      </c>
      <c r="AW134" s="124">
        <f t="shared" si="659"/>
        <v>0</v>
      </c>
      <c r="AX134" s="121">
        <f t="shared" ref="AX134:AY134" si="1159">IFERROR(AX132/AX133,0)</f>
        <v>200</v>
      </c>
      <c r="AY134" s="122">
        <f t="shared" si="1159"/>
        <v>200</v>
      </c>
      <c r="AZ134" s="124">
        <f t="shared" si="661"/>
        <v>0</v>
      </c>
      <c r="BA134" s="121">
        <f t="shared" ref="BA134:BB134" si="1160">IFERROR(BA132/BA133,0)</f>
        <v>200</v>
      </c>
      <c r="BB134" s="122">
        <f t="shared" si="1160"/>
        <v>200</v>
      </c>
      <c r="BC134" s="124">
        <f t="shared" si="663"/>
        <v>0</v>
      </c>
      <c r="BD134" s="31"/>
      <c r="BE134" s="121">
        <f t="shared" ref="BE134:BF134" si="1161">IFERROR(BE132/BE133,0)</f>
        <v>0</v>
      </c>
      <c r="BF134" s="122">
        <f t="shared" si="1161"/>
        <v>0</v>
      </c>
      <c r="BG134" s="124">
        <f t="shared" si="685"/>
        <v>0</v>
      </c>
      <c r="BH134" s="121">
        <f t="shared" ref="BH134:BI134" si="1162">IFERROR(BH132/BH133,0)</f>
        <v>0</v>
      </c>
      <c r="BI134" s="122">
        <f t="shared" si="1162"/>
        <v>0</v>
      </c>
      <c r="BJ134" s="124">
        <f t="shared" si="687"/>
        <v>0</v>
      </c>
      <c r="BK134" s="121">
        <f t="shared" ref="BK134:BL134" si="1163">IFERROR(BK132/BK133,0)</f>
        <v>0</v>
      </c>
      <c r="BL134" s="122">
        <f t="shared" si="1163"/>
        <v>0</v>
      </c>
      <c r="BM134" s="124">
        <f t="shared" si="689"/>
        <v>0</v>
      </c>
    </row>
    <row r="135" ht="15.75" hidden="1" customHeight="1" outlineLevel="1">
      <c r="A135" s="2"/>
      <c r="B135" s="148" t="s">
        <v>54</v>
      </c>
      <c r="C135" s="107" t="s">
        <v>6</v>
      </c>
      <c r="D135" s="2"/>
      <c r="E135" s="108">
        <f t="shared" ref="E135:E136" si="1176">K135+N135+Q135</f>
        <v>0</v>
      </c>
      <c r="F135" s="109">
        <f t="shared" ref="F135:F136" si="1177">U135+X135+AA135+AD135+AG135+AJ135+AM135+AP135+AS135+AV135+AY135+BB135</f>
        <v>46258.99281</v>
      </c>
      <c r="G135" s="109">
        <f t="shared" ref="G135:G136" si="1178">BF135+BI135+BL135</f>
        <v>15539.56835</v>
      </c>
      <c r="H135" s="110">
        <f t="shared" ref="H135:H136" si="1179">SUM(E135:G135)</f>
        <v>61798.56115</v>
      </c>
      <c r="I135" s="16"/>
      <c r="J135" s="108" t="s">
        <v>7</v>
      </c>
      <c r="K135" s="109"/>
      <c r="L135" s="110" t="s">
        <v>7</v>
      </c>
      <c r="M135" s="108" t="s">
        <v>7</v>
      </c>
      <c r="N135" s="109"/>
      <c r="O135" s="110" t="s">
        <v>7</v>
      </c>
      <c r="P135" s="108" t="s">
        <v>7</v>
      </c>
      <c r="Q135" s="109"/>
      <c r="R135" s="110" t="s">
        <v>7</v>
      </c>
      <c r="S135" s="2"/>
      <c r="T135" s="108" t="s">
        <v>7</v>
      </c>
      <c r="U135" s="109"/>
      <c r="V135" s="110" t="s">
        <v>7</v>
      </c>
      <c r="W135" s="108" t="s">
        <v>7</v>
      </c>
      <c r="X135" s="109"/>
      <c r="Y135" s="110" t="s">
        <v>7</v>
      </c>
      <c r="Z135" s="125">
        <v>0.0</v>
      </c>
      <c r="AA135" s="136">
        <v>0.0</v>
      </c>
      <c r="AB135" s="111">
        <f t="shared" si="78"/>
        <v>0</v>
      </c>
      <c r="AC135" s="108">
        <f t="shared" ref="AC135:AD135" si="1164">(26300+(50*AC136))/$C$163</f>
        <v>4910.071942</v>
      </c>
      <c r="AD135" s="109">
        <f t="shared" si="1164"/>
        <v>4910.071942</v>
      </c>
      <c r="AE135" s="111">
        <f t="shared" si="80"/>
        <v>0</v>
      </c>
      <c r="AF135" s="108">
        <f t="shared" ref="AF135:AG135" si="1165">(26300+(50*AF136))/$C$163</f>
        <v>5089.928058</v>
      </c>
      <c r="AG135" s="108">
        <f t="shared" si="1165"/>
        <v>5089.928058</v>
      </c>
      <c r="AH135" s="111">
        <f t="shared" si="82"/>
        <v>0</v>
      </c>
      <c r="AI135" s="108">
        <f t="shared" ref="AI135:AJ135" si="1166">(26300+(50*AI136))/$C$163</f>
        <v>5179.856115</v>
      </c>
      <c r="AJ135" s="108">
        <f t="shared" si="1166"/>
        <v>5179.856115</v>
      </c>
      <c r="AK135" s="111">
        <f t="shared" si="84"/>
        <v>0</v>
      </c>
      <c r="AL135" s="108">
        <f t="shared" ref="AL135:AM135" si="1167">(26300+(50*AL136))/$C$163</f>
        <v>5179.856115</v>
      </c>
      <c r="AM135" s="108">
        <f t="shared" si="1167"/>
        <v>5179.856115</v>
      </c>
      <c r="AN135" s="111">
        <f t="shared" si="653"/>
        <v>0</v>
      </c>
      <c r="AO135" s="108">
        <f t="shared" ref="AO135:AP135" si="1168">(26300+(50*AO136))/$C$163</f>
        <v>5179.856115</v>
      </c>
      <c r="AP135" s="108">
        <f t="shared" si="1168"/>
        <v>5179.856115</v>
      </c>
      <c r="AQ135" s="111">
        <f t="shared" si="655"/>
        <v>0</v>
      </c>
      <c r="AR135" s="108">
        <f t="shared" ref="AR135:AS135" si="1169">(26300+(50*AR136))/$C$163</f>
        <v>5179.856115</v>
      </c>
      <c r="AS135" s="108">
        <f t="shared" si="1169"/>
        <v>5179.856115</v>
      </c>
      <c r="AT135" s="111">
        <f t="shared" si="657"/>
        <v>0</v>
      </c>
      <c r="AU135" s="108">
        <f t="shared" ref="AU135:AV135" si="1170">(26300+(50*AU136))/$C$163</f>
        <v>5179.856115</v>
      </c>
      <c r="AV135" s="108">
        <f t="shared" si="1170"/>
        <v>5179.856115</v>
      </c>
      <c r="AW135" s="111">
        <f t="shared" si="659"/>
        <v>0</v>
      </c>
      <c r="AX135" s="108">
        <f t="shared" ref="AX135:AY135" si="1171">(26300+(50*AX136))/$C$163</f>
        <v>5179.856115</v>
      </c>
      <c r="AY135" s="108">
        <f t="shared" si="1171"/>
        <v>5179.856115</v>
      </c>
      <c r="AZ135" s="111">
        <f t="shared" si="661"/>
        <v>0</v>
      </c>
      <c r="BA135" s="108">
        <f t="shared" ref="BA135:BB135" si="1172">(26300+(50*BA136))/$C$163</f>
        <v>5179.856115</v>
      </c>
      <c r="BB135" s="108">
        <f t="shared" si="1172"/>
        <v>5179.856115</v>
      </c>
      <c r="BC135" s="111">
        <f t="shared" si="663"/>
        <v>0</v>
      </c>
      <c r="BD135" s="16"/>
      <c r="BE135" s="108">
        <f t="shared" ref="BE135:BF135" si="1173">(26300+(50*BE136))/$C$163</f>
        <v>5179.856115</v>
      </c>
      <c r="BF135" s="108">
        <f t="shared" si="1173"/>
        <v>5179.856115</v>
      </c>
      <c r="BG135" s="111">
        <f t="shared" si="685"/>
        <v>0</v>
      </c>
      <c r="BH135" s="108">
        <f t="shared" ref="BH135:BI135" si="1174">(26300+(50*BH136))/$C$163</f>
        <v>5179.856115</v>
      </c>
      <c r="BI135" s="108">
        <f t="shared" si="1174"/>
        <v>5179.856115</v>
      </c>
      <c r="BJ135" s="111">
        <f t="shared" si="687"/>
        <v>0</v>
      </c>
      <c r="BK135" s="108">
        <f t="shared" ref="BK135:BL135" si="1175">(26300+(50*BK136))/$C$163</f>
        <v>5179.856115</v>
      </c>
      <c r="BL135" s="108">
        <f t="shared" si="1175"/>
        <v>5179.856115</v>
      </c>
      <c r="BM135" s="111">
        <f t="shared" si="689"/>
        <v>0</v>
      </c>
    </row>
    <row r="136" ht="15.75" hidden="1" customHeight="1" outlineLevel="1">
      <c r="A136" s="2"/>
      <c r="B136" s="20"/>
      <c r="C136" s="112" t="s">
        <v>8</v>
      </c>
      <c r="D136" s="2"/>
      <c r="E136" s="113">
        <f t="shared" si="1176"/>
        <v>0</v>
      </c>
      <c r="F136" s="114">
        <f t="shared" si="1177"/>
        <v>410</v>
      </c>
      <c r="G136" s="114">
        <f t="shared" si="1178"/>
        <v>150</v>
      </c>
      <c r="H136" s="115">
        <f t="shared" si="1179"/>
        <v>560</v>
      </c>
      <c r="I136" s="16"/>
      <c r="J136" s="113" t="s">
        <v>7</v>
      </c>
      <c r="K136" s="114"/>
      <c r="L136" s="115" t="s">
        <v>7</v>
      </c>
      <c r="M136" s="113" t="s">
        <v>7</v>
      </c>
      <c r="N136" s="114"/>
      <c r="O136" s="115" t="s">
        <v>7</v>
      </c>
      <c r="P136" s="113" t="s">
        <v>7</v>
      </c>
      <c r="Q136" s="114"/>
      <c r="R136" s="115" t="s">
        <v>7</v>
      </c>
      <c r="S136" s="2"/>
      <c r="T136" s="113" t="s">
        <v>7</v>
      </c>
      <c r="U136" s="114"/>
      <c r="V136" s="115" t="s">
        <v>7</v>
      </c>
      <c r="W136" s="113" t="s">
        <v>7</v>
      </c>
      <c r="X136" s="114"/>
      <c r="Y136" s="115" t="s">
        <v>7</v>
      </c>
      <c r="Z136" s="117">
        <v>0.0</v>
      </c>
      <c r="AA136" s="116">
        <v>0.0</v>
      </c>
      <c r="AB136" s="119">
        <f t="shared" si="78"/>
        <v>0</v>
      </c>
      <c r="AC136" s="117">
        <v>20.0</v>
      </c>
      <c r="AD136" s="114">
        <v>20.0</v>
      </c>
      <c r="AE136" s="119">
        <f t="shared" si="80"/>
        <v>0</v>
      </c>
      <c r="AF136" s="117">
        <v>40.0</v>
      </c>
      <c r="AG136" s="117">
        <v>40.0</v>
      </c>
      <c r="AH136" s="119">
        <f t="shared" si="82"/>
        <v>0</v>
      </c>
      <c r="AI136" s="117">
        <v>50.0</v>
      </c>
      <c r="AJ136" s="117">
        <v>50.0</v>
      </c>
      <c r="AK136" s="119">
        <f t="shared" si="84"/>
        <v>0</v>
      </c>
      <c r="AL136" s="117">
        <v>50.0</v>
      </c>
      <c r="AM136" s="117">
        <v>50.0</v>
      </c>
      <c r="AN136" s="119">
        <f t="shared" si="653"/>
        <v>0</v>
      </c>
      <c r="AO136" s="117">
        <v>50.0</v>
      </c>
      <c r="AP136" s="117">
        <v>50.0</v>
      </c>
      <c r="AQ136" s="119">
        <f t="shared" si="655"/>
        <v>0</v>
      </c>
      <c r="AR136" s="117">
        <v>50.0</v>
      </c>
      <c r="AS136" s="117">
        <v>50.0</v>
      </c>
      <c r="AT136" s="119">
        <f t="shared" si="657"/>
        <v>0</v>
      </c>
      <c r="AU136" s="117">
        <v>50.0</v>
      </c>
      <c r="AV136" s="117">
        <v>50.0</v>
      </c>
      <c r="AW136" s="119">
        <f t="shared" si="659"/>
        <v>0</v>
      </c>
      <c r="AX136" s="117">
        <v>50.0</v>
      </c>
      <c r="AY136" s="117">
        <v>50.0</v>
      </c>
      <c r="AZ136" s="119">
        <f t="shared" si="661"/>
        <v>0</v>
      </c>
      <c r="BA136" s="117">
        <v>50.0</v>
      </c>
      <c r="BB136" s="117">
        <v>50.0</v>
      </c>
      <c r="BC136" s="119">
        <f t="shared" si="663"/>
        <v>0</v>
      </c>
      <c r="BD136" s="16"/>
      <c r="BE136" s="117">
        <v>50.0</v>
      </c>
      <c r="BF136" s="117">
        <v>50.0</v>
      </c>
      <c r="BG136" s="119">
        <f t="shared" si="685"/>
        <v>0</v>
      </c>
      <c r="BH136" s="117">
        <v>50.0</v>
      </c>
      <c r="BI136" s="117">
        <v>50.0</v>
      </c>
      <c r="BJ136" s="119">
        <f t="shared" si="687"/>
        <v>0</v>
      </c>
      <c r="BK136" s="117">
        <v>50.0</v>
      </c>
      <c r="BL136" s="117">
        <v>50.0</v>
      </c>
      <c r="BM136" s="119">
        <f t="shared" si="689"/>
        <v>0</v>
      </c>
    </row>
    <row r="137" ht="15.75" hidden="1" customHeight="1" outlineLevel="1">
      <c r="A137" s="2"/>
      <c r="B137" s="26"/>
      <c r="C137" s="120" t="s">
        <v>9</v>
      </c>
      <c r="D137" s="2"/>
      <c r="E137" s="121">
        <f t="shared" ref="E137:H137" si="1180">IFERROR(E135/E136,0)</f>
        <v>0</v>
      </c>
      <c r="F137" s="122">
        <f t="shared" si="1180"/>
        <v>112.8268117</v>
      </c>
      <c r="G137" s="122">
        <f t="shared" si="1180"/>
        <v>103.5971223</v>
      </c>
      <c r="H137" s="123">
        <f t="shared" si="1180"/>
        <v>110.3545735</v>
      </c>
      <c r="I137" s="31"/>
      <c r="J137" s="121" t="s">
        <v>7</v>
      </c>
      <c r="K137" s="122">
        <f>IFERROR(K135/K136,0)</f>
        <v>0</v>
      </c>
      <c r="L137" s="123" t="s">
        <v>7</v>
      </c>
      <c r="M137" s="121" t="s">
        <v>7</v>
      </c>
      <c r="N137" s="122">
        <f>IFERROR(N135/N136,0)</f>
        <v>0</v>
      </c>
      <c r="O137" s="123" t="s">
        <v>7</v>
      </c>
      <c r="P137" s="121" t="s">
        <v>7</v>
      </c>
      <c r="Q137" s="122">
        <f>IFERROR(Q135/Q136,0)</f>
        <v>0</v>
      </c>
      <c r="R137" s="123" t="s">
        <v>7</v>
      </c>
      <c r="S137" s="2"/>
      <c r="T137" s="121" t="s">
        <v>7</v>
      </c>
      <c r="U137" s="122">
        <f>IFERROR(U135/U136,0)</f>
        <v>0</v>
      </c>
      <c r="V137" s="123" t="s">
        <v>7</v>
      </c>
      <c r="W137" s="121" t="s">
        <v>7</v>
      </c>
      <c r="X137" s="122">
        <f>IFERROR(X135/X136,0)</f>
        <v>0</v>
      </c>
      <c r="Y137" s="123" t="s">
        <v>7</v>
      </c>
      <c r="Z137" s="121">
        <f t="shared" ref="Z137:AA137" si="1181">IFERROR(Z135/Z136,0)</f>
        <v>0</v>
      </c>
      <c r="AA137" s="122">
        <f t="shared" si="1181"/>
        <v>0</v>
      </c>
      <c r="AB137" s="124">
        <f t="shared" si="78"/>
        <v>0</v>
      </c>
      <c r="AC137" s="121">
        <f t="shared" ref="AC137:AD137" si="1182">IFERROR(AC135/AC136,0)</f>
        <v>245.5035971</v>
      </c>
      <c r="AD137" s="122">
        <f t="shared" si="1182"/>
        <v>245.5035971</v>
      </c>
      <c r="AE137" s="124">
        <f t="shared" si="80"/>
        <v>0</v>
      </c>
      <c r="AF137" s="121">
        <f t="shared" ref="AF137:AG137" si="1183">IFERROR(AF135/AF136,0)</f>
        <v>127.2482014</v>
      </c>
      <c r="AG137" s="122">
        <f t="shared" si="1183"/>
        <v>127.2482014</v>
      </c>
      <c r="AH137" s="124">
        <f t="shared" si="82"/>
        <v>0</v>
      </c>
      <c r="AI137" s="121">
        <f t="shared" ref="AI137:AJ137" si="1184">IFERROR(AI135/AI136,0)</f>
        <v>103.5971223</v>
      </c>
      <c r="AJ137" s="122">
        <f t="shared" si="1184"/>
        <v>103.5971223</v>
      </c>
      <c r="AK137" s="124">
        <f t="shared" si="84"/>
        <v>0</v>
      </c>
      <c r="AL137" s="121">
        <f t="shared" ref="AL137:AM137" si="1185">IFERROR(AL135/AL136,0)</f>
        <v>103.5971223</v>
      </c>
      <c r="AM137" s="122">
        <f t="shared" si="1185"/>
        <v>103.5971223</v>
      </c>
      <c r="AN137" s="124">
        <f t="shared" si="653"/>
        <v>0</v>
      </c>
      <c r="AO137" s="121">
        <f t="shared" ref="AO137:AP137" si="1186">IFERROR(AO135/AO136,0)</f>
        <v>103.5971223</v>
      </c>
      <c r="AP137" s="122">
        <f t="shared" si="1186"/>
        <v>103.5971223</v>
      </c>
      <c r="AQ137" s="124">
        <f t="shared" si="655"/>
        <v>0</v>
      </c>
      <c r="AR137" s="121">
        <f t="shared" ref="AR137:AS137" si="1187">IFERROR(AR135/AR136,0)</f>
        <v>103.5971223</v>
      </c>
      <c r="AS137" s="122">
        <f t="shared" si="1187"/>
        <v>103.5971223</v>
      </c>
      <c r="AT137" s="124">
        <f t="shared" si="657"/>
        <v>0</v>
      </c>
      <c r="AU137" s="121">
        <f t="shared" ref="AU137:AV137" si="1188">IFERROR(AU135/AU136,0)</f>
        <v>103.5971223</v>
      </c>
      <c r="AV137" s="122">
        <f t="shared" si="1188"/>
        <v>103.5971223</v>
      </c>
      <c r="AW137" s="124">
        <f t="shared" si="659"/>
        <v>0</v>
      </c>
      <c r="AX137" s="121">
        <f t="shared" ref="AX137:AY137" si="1189">IFERROR(AX135/AX136,0)</f>
        <v>103.5971223</v>
      </c>
      <c r="AY137" s="122">
        <f t="shared" si="1189"/>
        <v>103.5971223</v>
      </c>
      <c r="AZ137" s="124">
        <f t="shared" si="661"/>
        <v>0</v>
      </c>
      <c r="BA137" s="121">
        <f t="shared" ref="BA137:BB137" si="1190">IFERROR(BA135/BA136,0)</f>
        <v>103.5971223</v>
      </c>
      <c r="BB137" s="122">
        <f t="shared" si="1190"/>
        <v>103.5971223</v>
      </c>
      <c r="BC137" s="124">
        <f t="shared" si="663"/>
        <v>0</v>
      </c>
      <c r="BD137" s="31"/>
      <c r="BE137" s="121">
        <f t="shared" ref="BE137:BF137" si="1191">IFERROR(BE135/BE136,0)</f>
        <v>103.5971223</v>
      </c>
      <c r="BF137" s="122">
        <f t="shared" si="1191"/>
        <v>103.5971223</v>
      </c>
      <c r="BG137" s="124">
        <f t="shared" si="685"/>
        <v>0</v>
      </c>
      <c r="BH137" s="121">
        <f t="shared" ref="BH137:BI137" si="1192">IFERROR(BH135/BH136,0)</f>
        <v>103.5971223</v>
      </c>
      <c r="BI137" s="122">
        <f t="shared" si="1192"/>
        <v>103.5971223</v>
      </c>
      <c r="BJ137" s="124">
        <f t="shared" si="687"/>
        <v>0</v>
      </c>
      <c r="BK137" s="121">
        <f t="shared" ref="BK137:BL137" si="1193">IFERROR(BK135/BK136,0)</f>
        <v>103.5971223</v>
      </c>
      <c r="BL137" s="122">
        <f t="shared" si="1193"/>
        <v>103.5971223</v>
      </c>
      <c r="BM137" s="124">
        <f t="shared" si="689"/>
        <v>0</v>
      </c>
    </row>
    <row r="138" ht="15.75" hidden="1" customHeight="1" outlineLevel="1">
      <c r="A138" s="2"/>
      <c r="B138" s="149" t="s">
        <v>55</v>
      </c>
      <c r="C138" s="107" t="s">
        <v>6</v>
      </c>
      <c r="D138" s="2"/>
      <c r="E138" s="108">
        <f t="shared" ref="E138:E139" si="1206">K138+N138+Q138</f>
        <v>0</v>
      </c>
      <c r="F138" s="109">
        <f t="shared" ref="F138:F139" si="1207">U138+X138+AA138+AD138+AG138+AJ138+AM138+AP138+AS138+AV138+AY138+BB138</f>
        <v>26870.5036</v>
      </c>
      <c r="G138" s="109">
        <f t="shared" ref="G138:G139" si="1208">BF138+BI138+BL138</f>
        <v>8956.834532</v>
      </c>
      <c r="H138" s="110">
        <f t="shared" ref="H138:H139" si="1209">SUM(E138:G138)</f>
        <v>35827.33813</v>
      </c>
      <c r="I138" s="16"/>
      <c r="J138" s="108" t="s">
        <v>7</v>
      </c>
      <c r="K138" s="109"/>
      <c r="L138" s="110" t="s">
        <v>7</v>
      </c>
      <c r="M138" s="108" t="s">
        <v>7</v>
      </c>
      <c r="N138" s="109"/>
      <c r="O138" s="110" t="s">
        <v>7</v>
      </c>
      <c r="P138" s="108" t="s">
        <v>7</v>
      </c>
      <c r="Q138" s="109"/>
      <c r="R138" s="110" t="s">
        <v>7</v>
      </c>
      <c r="S138" s="2"/>
      <c r="T138" s="108" t="s">
        <v>7</v>
      </c>
      <c r="U138" s="109"/>
      <c r="V138" s="110" t="s">
        <v>7</v>
      </c>
      <c r="W138" s="108" t="s">
        <v>7</v>
      </c>
      <c r="X138" s="109"/>
      <c r="Y138" s="110" t="s">
        <v>7</v>
      </c>
      <c r="Z138" s="125">
        <v>0.0</v>
      </c>
      <c r="AA138" s="136">
        <v>0.0</v>
      </c>
      <c r="AB138" s="111">
        <f t="shared" si="78"/>
        <v>0</v>
      </c>
      <c r="AC138" s="108">
        <f t="shared" ref="AC138:AD138" si="1194">16600/$C$163</f>
        <v>2985.611511</v>
      </c>
      <c r="AD138" s="108">
        <f t="shared" si="1194"/>
        <v>2985.611511</v>
      </c>
      <c r="AE138" s="111">
        <f t="shared" si="80"/>
        <v>0</v>
      </c>
      <c r="AF138" s="108">
        <f t="shared" ref="AF138:AG138" si="1195">16600/$C$163</f>
        <v>2985.611511</v>
      </c>
      <c r="AG138" s="108">
        <f t="shared" si="1195"/>
        <v>2985.611511</v>
      </c>
      <c r="AH138" s="111">
        <f t="shared" si="82"/>
        <v>0</v>
      </c>
      <c r="AI138" s="108">
        <f t="shared" ref="AI138:AJ138" si="1196">16600/$C$163</f>
        <v>2985.611511</v>
      </c>
      <c r="AJ138" s="108">
        <f t="shared" si="1196"/>
        <v>2985.611511</v>
      </c>
      <c r="AK138" s="111">
        <f t="shared" si="84"/>
        <v>0</v>
      </c>
      <c r="AL138" s="108">
        <f t="shared" ref="AL138:AM138" si="1197">16600/$C$163</f>
        <v>2985.611511</v>
      </c>
      <c r="AM138" s="108">
        <f t="shared" si="1197"/>
        <v>2985.611511</v>
      </c>
      <c r="AN138" s="111">
        <f t="shared" si="653"/>
        <v>0</v>
      </c>
      <c r="AO138" s="108">
        <f t="shared" ref="AO138:AP138" si="1198">16600/$C$163</f>
        <v>2985.611511</v>
      </c>
      <c r="AP138" s="108">
        <f t="shared" si="1198"/>
        <v>2985.611511</v>
      </c>
      <c r="AQ138" s="111">
        <f t="shared" si="655"/>
        <v>0</v>
      </c>
      <c r="AR138" s="108">
        <f t="shared" ref="AR138:AS138" si="1199">16600/$C$163</f>
        <v>2985.611511</v>
      </c>
      <c r="AS138" s="108">
        <f t="shared" si="1199"/>
        <v>2985.611511</v>
      </c>
      <c r="AT138" s="111">
        <f t="shared" si="657"/>
        <v>0</v>
      </c>
      <c r="AU138" s="108">
        <f t="shared" ref="AU138:AV138" si="1200">16600/$C$163</f>
        <v>2985.611511</v>
      </c>
      <c r="AV138" s="108">
        <f t="shared" si="1200"/>
        <v>2985.611511</v>
      </c>
      <c r="AW138" s="111">
        <f t="shared" si="659"/>
        <v>0</v>
      </c>
      <c r="AX138" s="108">
        <f t="shared" ref="AX138:AY138" si="1201">16600/$C$163</f>
        <v>2985.611511</v>
      </c>
      <c r="AY138" s="108">
        <f t="shared" si="1201"/>
        <v>2985.611511</v>
      </c>
      <c r="AZ138" s="111">
        <f t="shared" si="661"/>
        <v>0</v>
      </c>
      <c r="BA138" s="108">
        <f t="shared" ref="BA138:BB138" si="1202">16600/$C$163</f>
        <v>2985.611511</v>
      </c>
      <c r="BB138" s="108">
        <f t="shared" si="1202"/>
        <v>2985.611511</v>
      </c>
      <c r="BC138" s="111">
        <f t="shared" si="663"/>
        <v>0</v>
      </c>
      <c r="BD138" s="16"/>
      <c r="BE138" s="108">
        <f t="shared" ref="BE138:BF138" si="1203">16600/$C$163</f>
        <v>2985.611511</v>
      </c>
      <c r="BF138" s="108">
        <f t="shared" si="1203"/>
        <v>2985.611511</v>
      </c>
      <c r="BG138" s="111">
        <f t="shared" si="685"/>
        <v>0</v>
      </c>
      <c r="BH138" s="108">
        <f t="shared" ref="BH138:BI138" si="1204">16600/$C$163</f>
        <v>2985.611511</v>
      </c>
      <c r="BI138" s="108">
        <f t="shared" si="1204"/>
        <v>2985.611511</v>
      </c>
      <c r="BJ138" s="111">
        <f t="shared" si="687"/>
        <v>0</v>
      </c>
      <c r="BK138" s="108">
        <f t="shared" ref="BK138:BL138" si="1205">16600/$C$163</f>
        <v>2985.611511</v>
      </c>
      <c r="BL138" s="108">
        <f t="shared" si="1205"/>
        <v>2985.611511</v>
      </c>
      <c r="BM138" s="111">
        <f t="shared" si="689"/>
        <v>0</v>
      </c>
    </row>
    <row r="139" ht="15.75" hidden="1" customHeight="1" outlineLevel="1">
      <c r="A139" s="2"/>
      <c r="B139" s="20"/>
      <c r="C139" s="112" t="s">
        <v>8</v>
      </c>
      <c r="D139" s="2"/>
      <c r="E139" s="113">
        <f t="shared" si="1206"/>
        <v>0</v>
      </c>
      <c r="F139" s="114">
        <f t="shared" si="1207"/>
        <v>2880</v>
      </c>
      <c r="G139" s="114">
        <f t="shared" si="1208"/>
        <v>960</v>
      </c>
      <c r="H139" s="115">
        <f t="shared" si="1209"/>
        <v>3840</v>
      </c>
      <c r="I139" s="16"/>
      <c r="J139" s="113" t="s">
        <v>7</v>
      </c>
      <c r="K139" s="114"/>
      <c r="L139" s="115" t="s">
        <v>7</v>
      </c>
      <c r="M139" s="113" t="s">
        <v>7</v>
      </c>
      <c r="N139" s="114"/>
      <c r="O139" s="115" t="s">
        <v>7</v>
      </c>
      <c r="P139" s="113" t="s">
        <v>7</v>
      </c>
      <c r="Q139" s="114"/>
      <c r="R139" s="115" t="s">
        <v>7</v>
      </c>
      <c r="S139" s="2"/>
      <c r="T139" s="113" t="s">
        <v>7</v>
      </c>
      <c r="U139" s="114"/>
      <c r="V139" s="115" t="s">
        <v>7</v>
      </c>
      <c r="W139" s="113" t="s">
        <v>7</v>
      </c>
      <c r="X139" s="114"/>
      <c r="Y139" s="115" t="s">
        <v>7</v>
      </c>
      <c r="Z139" s="117">
        <v>0.0</v>
      </c>
      <c r="AA139" s="116">
        <v>0.0</v>
      </c>
      <c r="AB139" s="119">
        <f t="shared" si="78"/>
        <v>0</v>
      </c>
      <c r="AC139" s="117">
        <v>320.0</v>
      </c>
      <c r="AD139" s="117">
        <v>320.0</v>
      </c>
      <c r="AE139" s="119">
        <f t="shared" si="80"/>
        <v>0</v>
      </c>
      <c r="AF139" s="117">
        <v>320.0</v>
      </c>
      <c r="AG139" s="117">
        <v>320.0</v>
      </c>
      <c r="AH139" s="119">
        <f t="shared" si="82"/>
        <v>0</v>
      </c>
      <c r="AI139" s="117">
        <v>320.0</v>
      </c>
      <c r="AJ139" s="117">
        <v>320.0</v>
      </c>
      <c r="AK139" s="119">
        <f t="shared" si="84"/>
        <v>0</v>
      </c>
      <c r="AL139" s="117">
        <v>320.0</v>
      </c>
      <c r="AM139" s="117">
        <v>320.0</v>
      </c>
      <c r="AN139" s="119">
        <f t="shared" si="653"/>
        <v>0</v>
      </c>
      <c r="AO139" s="117">
        <v>320.0</v>
      </c>
      <c r="AP139" s="117">
        <v>320.0</v>
      </c>
      <c r="AQ139" s="119">
        <f t="shared" si="655"/>
        <v>0</v>
      </c>
      <c r="AR139" s="117">
        <v>320.0</v>
      </c>
      <c r="AS139" s="117">
        <v>320.0</v>
      </c>
      <c r="AT139" s="119">
        <f t="shared" si="657"/>
        <v>0</v>
      </c>
      <c r="AU139" s="117">
        <v>320.0</v>
      </c>
      <c r="AV139" s="117">
        <v>320.0</v>
      </c>
      <c r="AW139" s="119">
        <f t="shared" si="659"/>
        <v>0</v>
      </c>
      <c r="AX139" s="117">
        <v>320.0</v>
      </c>
      <c r="AY139" s="117">
        <v>320.0</v>
      </c>
      <c r="AZ139" s="119">
        <f t="shared" si="661"/>
        <v>0</v>
      </c>
      <c r="BA139" s="117">
        <v>320.0</v>
      </c>
      <c r="BB139" s="117">
        <v>320.0</v>
      </c>
      <c r="BC139" s="119">
        <f t="shared" si="663"/>
        <v>0</v>
      </c>
      <c r="BD139" s="16"/>
      <c r="BE139" s="117">
        <v>320.0</v>
      </c>
      <c r="BF139" s="117">
        <v>320.0</v>
      </c>
      <c r="BG139" s="119">
        <f t="shared" si="685"/>
        <v>0</v>
      </c>
      <c r="BH139" s="117">
        <v>320.0</v>
      </c>
      <c r="BI139" s="117">
        <v>320.0</v>
      </c>
      <c r="BJ139" s="119">
        <f t="shared" si="687"/>
        <v>0</v>
      </c>
      <c r="BK139" s="117">
        <v>320.0</v>
      </c>
      <c r="BL139" s="117">
        <v>320.0</v>
      </c>
      <c r="BM139" s="119">
        <f t="shared" si="689"/>
        <v>0</v>
      </c>
    </row>
    <row r="140" ht="15.75" hidden="1" customHeight="1" outlineLevel="1">
      <c r="A140" s="2"/>
      <c r="B140" s="26"/>
      <c r="C140" s="120" t="s">
        <v>9</v>
      </c>
      <c r="D140" s="2"/>
      <c r="E140" s="121">
        <f t="shared" ref="E140:H140" si="1210">IFERROR(E138/E139,0)</f>
        <v>0</v>
      </c>
      <c r="F140" s="122">
        <f t="shared" si="1210"/>
        <v>9.330035971</v>
      </c>
      <c r="G140" s="122">
        <f t="shared" si="1210"/>
        <v>9.330035971</v>
      </c>
      <c r="H140" s="123">
        <f t="shared" si="1210"/>
        <v>9.330035971</v>
      </c>
      <c r="I140" s="31"/>
      <c r="J140" s="121" t="s">
        <v>7</v>
      </c>
      <c r="K140" s="122">
        <f>IFERROR(K138/K139,0)</f>
        <v>0</v>
      </c>
      <c r="L140" s="123" t="s">
        <v>7</v>
      </c>
      <c r="M140" s="121" t="s">
        <v>7</v>
      </c>
      <c r="N140" s="122">
        <f>IFERROR(N138/N139,0)</f>
        <v>0</v>
      </c>
      <c r="O140" s="123" t="s">
        <v>7</v>
      </c>
      <c r="P140" s="121" t="s">
        <v>7</v>
      </c>
      <c r="Q140" s="122">
        <f>IFERROR(Q138/Q139,0)</f>
        <v>0</v>
      </c>
      <c r="R140" s="123" t="s">
        <v>7</v>
      </c>
      <c r="S140" s="2"/>
      <c r="T140" s="121" t="s">
        <v>7</v>
      </c>
      <c r="U140" s="122">
        <f>IFERROR(U138/U139,0)</f>
        <v>0</v>
      </c>
      <c r="V140" s="123" t="s">
        <v>7</v>
      </c>
      <c r="W140" s="121" t="s">
        <v>7</v>
      </c>
      <c r="X140" s="122">
        <f>IFERROR(X138/X139,0)</f>
        <v>0</v>
      </c>
      <c r="Y140" s="123" t="s">
        <v>7</v>
      </c>
      <c r="Z140" s="121">
        <f t="shared" ref="Z140:AA140" si="1211">IFERROR(Z138/Z139,0)</f>
        <v>0</v>
      </c>
      <c r="AA140" s="122">
        <f t="shared" si="1211"/>
        <v>0</v>
      </c>
      <c r="AB140" s="124">
        <f t="shared" si="78"/>
        <v>0</v>
      </c>
      <c r="AC140" s="121">
        <f t="shared" ref="AC140:AD140" si="1212">IFERROR(AC138/AC139,0)</f>
        <v>9.330035971</v>
      </c>
      <c r="AD140" s="122">
        <f t="shared" si="1212"/>
        <v>9.330035971</v>
      </c>
      <c r="AE140" s="124">
        <f t="shared" si="80"/>
        <v>0</v>
      </c>
      <c r="AF140" s="121">
        <f t="shared" ref="AF140:AG140" si="1213">IFERROR(AF138/AF139,0)</f>
        <v>9.330035971</v>
      </c>
      <c r="AG140" s="122">
        <f t="shared" si="1213"/>
        <v>9.330035971</v>
      </c>
      <c r="AH140" s="124">
        <f t="shared" si="82"/>
        <v>0</v>
      </c>
      <c r="AI140" s="121">
        <f t="shared" ref="AI140:AJ140" si="1214">IFERROR(AI138/AI139,0)</f>
        <v>9.330035971</v>
      </c>
      <c r="AJ140" s="122">
        <f t="shared" si="1214"/>
        <v>9.330035971</v>
      </c>
      <c r="AK140" s="124">
        <f t="shared" si="84"/>
        <v>0</v>
      </c>
      <c r="AL140" s="121">
        <f t="shared" ref="AL140:AM140" si="1215">IFERROR(AL138/AL139,0)</f>
        <v>9.330035971</v>
      </c>
      <c r="AM140" s="122">
        <f t="shared" si="1215"/>
        <v>9.330035971</v>
      </c>
      <c r="AN140" s="124">
        <f t="shared" si="653"/>
        <v>0</v>
      </c>
      <c r="AO140" s="121">
        <f t="shared" ref="AO140:AP140" si="1216">IFERROR(AO138/AO139,0)</f>
        <v>9.330035971</v>
      </c>
      <c r="AP140" s="122">
        <f t="shared" si="1216"/>
        <v>9.330035971</v>
      </c>
      <c r="AQ140" s="124">
        <f t="shared" si="655"/>
        <v>0</v>
      </c>
      <c r="AR140" s="121">
        <f t="shared" ref="AR140:AS140" si="1217">IFERROR(AR138/AR139,0)</f>
        <v>9.330035971</v>
      </c>
      <c r="AS140" s="122">
        <f t="shared" si="1217"/>
        <v>9.330035971</v>
      </c>
      <c r="AT140" s="124">
        <f t="shared" si="657"/>
        <v>0</v>
      </c>
      <c r="AU140" s="121">
        <f t="shared" ref="AU140:AV140" si="1218">IFERROR(AU138/AU139,0)</f>
        <v>9.330035971</v>
      </c>
      <c r="AV140" s="122">
        <f t="shared" si="1218"/>
        <v>9.330035971</v>
      </c>
      <c r="AW140" s="124">
        <f t="shared" si="659"/>
        <v>0</v>
      </c>
      <c r="AX140" s="121">
        <f t="shared" ref="AX140:AY140" si="1219">IFERROR(AX138/AX139,0)</f>
        <v>9.330035971</v>
      </c>
      <c r="AY140" s="122">
        <f t="shared" si="1219"/>
        <v>9.330035971</v>
      </c>
      <c r="AZ140" s="124">
        <f t="shared" si="661"/>
        <v>0</v>
      </c>
      <c r="BA140" s="121">
        <f t="shared" ref="BA140:BB140" si="1220">IFERROR(BA138/BA139,0)</f>
        <v>9.330035971</v>
      </c>
      <c r="BB140" s="122">
        <f t="shared" si="1220"/>
        <v>9.330035971</v>
      </c>
      <c r="BC140" s="124">
        <f t="shared" si="663"/>
        <v>0</v>
      </c>
      <c r="BD140" s="31"/>
      <c r="BE140" s="121">
        <f t="shared" ref="BE140:BF140" si="1221">IFERROR(BE138/BE139,0)</f>
        <v>9.330035971</v>
      </c>
      <c r="BF140" s="122">
        <f t="shared" si="1221"/>
        <v>9.330035971</v>
      </c>
      <c r="BG140" s="124">
        <f t="shared" si="685"/>
        <v>0</v>
      </c>
      <c r="BH140" s="121">
        <f t="shared" ref="BH140:BI140" si="1222">IFERROR(BH138/BH139,0)</f>
        <v>9.330035971</v>
      </c>
      <c r="BI140" s="122">
        <f t="shared" si="1222"/>
        <v>9.330035971</v>
      </c>
      <c r="BJ140" s="124">
        <f t="shared" si="687"/>
        <v>0</v>
      </c>
      <c r="BK140" s="121">
        <f t="shared" ref="BK140:BL140" si="1223">IFERROR(BK138/BK139,0)</f>
        <v>9.330035971</v>
      </c>
      <c r="BL140" s="122">
        <f t="shared" si="1223"/>
        <v>9.330035971</v>
      </c>
      <c r="BM140" s="124">
        <f t="shared" si="689"/>
        <v>0</v>
      </c>
    </row>
    <row r="141" ht="15.75" customHeight="1" collapsed="1">
      <c r="A141" s="150"/>
      <c r="B141" s="151" t="s">
        <v>56</v>
      </c>
      <c r="C141" s="152" t="s">
        <v>6</v>
      </c>
      <c r="D141" s="2"/>
      <c r="E141" s="153">
        <f t="shared" ref="E141:G141" si="1224">SUM(E142:E144)</f>
        <v>0</v>
      </c>
      <c r="F141" s="154">
        <f t="shared" si="1224"/>
        <v>40863.28</v>
      </c>
      <c r="G141" s="154">
        <f t="shared" si="1224"/>
        <v>10215.82</v>
      </c>
      <c r="H141" s="155">
        <f t="shared" ref="H141:H149" si="1238">SUM(E141:G141)</f>
        <v>51079.1</v>
      </c>
      <c r="I141" s="16"/>
      <c r="J141" s="153" t="s">
        <v>7</v>
      </c>
      <c r="K141" s="154">
        <f>SUM(K142:K144)</f>
        <v>0</v>
      </c>
      <c r="L141" s="155" t="s">
        <v>7</v>
      </c>
      <c r="M141" s="153" t="s">
        <v>7</v>
      </c>
      <c r="N141" s="154">
        <f>SUM(N142:N144)</f>
        <v>0</v>
      </c>
      <c r="O141" s="155" t="s">
        <v>7</v>
      </c>
      <c r="P141" s="153" t="s">
        <v>7</v>
      </c>
      <c r="Q141" s="154">
        <f>SUM(Q142:Q144)</f>
        <v>0</v>
      </c>
      <c r="R141" s="155" t="s">
        <v>7</v>
      </c>
      <c r="S141" s="2"/>
      <c r="T141" s="153" t="s">
        <v>7</v>
      </c>
      <c r="U141" s="154">
        <f>SUM(U142:U144)</f>
        <v>0</v>
      </c>
      <c r="V141" s="155" t="s">
        <v>7</v>
      </c>
      <c r="W141" s="153" t="s">
        <v>7</v>
      </c>
      <c r="X141" s="154">
        <f>SUM(X142:X144)</f>
        <v>0</v>
      </c>
      <c r="Y141" s="155" t="s">
        <v>7</v>
      </c>
      <c r="Z141" s="153">
        <f t="shared" ref="Z141:AA141" si="1225">SUM(Z142:Z144)</f>
        <v>0</v>
      </c>
      <c r="AA141" s="154">
        <f t="shared" si="1225"/>
        <v>0</v>
      </c>
      <c r="AB141" s="156">
        <f t="shared" si="78"/>
        <v>0</v>
      </c>
      <c r="AC141" s="153">
        <f t="shared" ref="AC141:AD141" si="1226">SUM(AC142:AC144)</f>
        <v>0</v>
      </c>
      <c r="AD141" s="154">
        <f t="shared" si="1226"/>
        <v>0</v>
      </c>
      <c r="AE141" s="156">
        <f t="shared" si="80"/>
        <v>0</v>
      </c>
      <c r="AF141" s="153">
        <f t="shared" ref="AF141:AG141" si="1227">SUM(AF142:AF144)</f>
        <v>5107.91</v>
      </c>
      <c r="AG141" s="154">
        <f t="shared" si="1227"/>
        <v>5107.91</v>
      </c>
      <c r="AH141" s="156">
        <f t="shared" si="82"/>
        <v>0</v>
      </c>
      <c r="AI141" s="153">
        <f t="shared" ref="AI141:AJ141" si="1228">SUM(AI142:AI144)</f>
        <v>5107.91</v>
      </c>
      <c r="AJ141" s="154">
        <f t="shared" si="1228"/>
        <v>5107.91</v>
      </c>
      <c r="AK141" s="156">
        <f t="shared" si="84"/>
        <v>0</v>
      </c>
      <c r="AL141" s="153">
        <f t="shared" ref="AL141:AM141" si="1229">SUM(AL142:AL144)</f>
        <v>5107.91</v>
      </c>
      <c r="AM141" s="154">
        <f t="shared" si="1229"/>
        <v>5107.91</v>
      </c>
      <c r="AN141" s="156">
        <f t="shared" si="653"/>
        <v>0</v>
      </c>
      <c r="AO141" s="153">
        <f t="shared" ref="AO141:AP141" si="1230">SUM(AO142:AO144)</f>
        <v>5107.91</v>
      </c>
      <c r="AP141" s="154">
        <f t="shared" si="1230"/>
        <v>5107.91</v>
      </c>
      <c r="AQ141" s="156">
        <f t="shared" si="655"/>
        <v>0</v>
      </c>
      <c r="AR141" s="153">
        <f t="shared" ref="AR141:AS141" si="1231">SUM(AR142:AR144)</f>
        <v>5107.91</v>
      </c>
      <c r="AS141" s="154">
        <f t="shared" si="1231"/>
        <v>5107.91</v>
      </c>
      <c r="AT141" s="156">
        <f t="shared" si="657"/>
        <v>0</v>
      </c>
      <c r="AU141" s="153">
        <f t="shared" ref="AU141:AV141" si="1232">SUM(AU142:AU144)</f>
        <v>5107.91</v>
      </c>
      <c r="AV141" s="154">
        <f t="shared" si="1232"/>
        <v>5107.91</v>
      </c>
      <c r="AW141" s="156">
        <f t="shared" si="659"/>
        <v>0</v>
      </c>
      <c r="AX141" s="153">
        <f t="shared" ref="AX141:AY141" si="1233">SUM(AX142:AX144)</f>
        <v>5107.91</v>
      </c>
      <c r="AY141" s="154">
        <f t="shared" si="1233"/>
        <v>5107.91</v>
      </c>
      <c r="AZ141" s="156">
        <f t="shared" si="661"/>
        <v>0</v>
      </c>
      <c r="BA141" s="153">
        <f t="shared" ref="BA141:BB141" si="1234">SUM(BA142:BA144)</f>
        <v>5107.91</v>
      </c>
      <c r="BB141" s="154">
        <f t="shared" si="1234"/>
        <v>5107.91</v>
      </c>
      <c r="BC141" s="156">
        <f t="shared" si="663"/>
        <v>0</v>
      </c>
      <c r="BD141" s="16"/>
      <c r="BE141" s="153">
        <f t="shared" ref="BE141:BF141" si="1235">SUM(BE142:BE144)</f>
        <v>5107.91</v>
      </c>
      <c r="BF141" s="154">
        <f t="shared" si="1235"/>
        <v>5107.91</v>
      </c>
      <c r="BG141" s="156">
        <f t="shared" si="685"/>
        <v>0</v>
      </c>
      <c r="BH141" s="153">
        <f t="shared" ref="BH141:BI141" si="1236">SUM(BH142:BH144)</f>
        <v>5107.91</v>
      </c>
      <c r="BI141" s="154">
        <f t="shared" si="1236"/>
        <v>5107.91</v>
      </c>
      <c r="BJ141" s="156">
        <f t="shared" si="687"/>
        <v>0</v>
      </c>
      <c r="BK141" s="153">
        <f t="shared" ref="BK141:BL141" si="1237">SUM(BK142:BK144)</f>
        <v>0</v>
      </c>
      <c r="BL141" s="154">
        <f t="shared" si="1237"/>
        <v>0</v>
      </c>
      <c r="BM141" s="156">
        <f t="shared" si="689"/>
        <v>0</v>
      </c>
    </row>
    <row r="142" ht="15.75" customHeight="1" outlineLevel="1">
      <c r="A142" s="69"/>
      <c r="B142" s="129" t="s">
        <v>57</v>
      </c>
      <c r="C142" s="71" t="s">
        <v>6</v>
      </c>
      <c r="D142" s="69"/>
      <c r="E142" s="72">
        <f t="shared" ref="E142:E144" si="1239">K142+N142+Q142</f>
        <v>0</v>
      </c>
      <c r="F142" s="73">
        <f t="shared" ref="F142:F144" si="1240">U142+X142+AA142+AD142+AG142+AJ142+AM142+AP142+AS142+AV142+AY142+BB142</f>
        <v>40863.28</v>
      </c>
      <c r="G142" s="73">
        <f t="shared" ref="G142:G144" si="1241">BF142+BI142+BL142</f>
        <v>10215.82</v>
      </c>
      <c r="H142" s="74">
        <f t="shared" si="1238"/>
        <v>51079.1</v>
      </c>
      <c r="I142" s="16"/>
      <c r="J142" s="72" t="s">
        <v>7</v>
      </c>
      <c r="K142" s="73"/>
      <c r="L142" s="74" t="s">
        <v>7</v>
      </c>
      <c r="M142" s="72" t="s">
        <v>7</v>
      </c>
      <c r="N142" s="73"/>
      <c r="O142" s="74" t="s">
        <v>7</v>
      </c>
      <c r="P142" s="72" t="s">
        <v>7</v>
      </c>
      <c r="Q142" s="73"/>
      <c r="R142" s="74" t="s">
        <v>7</v>
      </c>
      <c r="S142" s="69"/>
      <c r="T142" s="72" t="s">
        <v>7</v>
      </c>
      <c r="U142" s="73"/>
      <c r="V142" s="74" t="s">
        <v>7</v>
      </c>
      <c r="W142" s="72" t="s">
        <v>7</v>
      </c>
      <c r="X142" s="73"/>
      <c r="Y142" s="74" t="s">
        <v>7</v>
      </c>
      <c r="Z142" s="72"/>
      <c r="AA142" s="73"/>
      <c r="AB142" s="76">
        <f t="shared" si="78"/>
        <v>0</v>
      </c>
      <c r="AC142" s="72"/>
      <c r="AD142" s="73"/>
      <c r="AE142" s="76">
        <f t="shared" si="80"/>
        <v>0</v>
      </c>
      <c r="AF142" s="108">
        <v>5107.91</v>
      </c>
      <c r="AG142" s="109">
        <v>5107.91</v>
      </c>
      <c r="AH142" s="111">
        <f t="shared" si="82"/>
        <v>0</v>
      </c>
      <c r="AI142" s="108">
        <v>5107.91</v>
      </c>
      <c r="AJ142" s="109">
        <v>5107.91</v>
      </c>
      <c r="AK142" s="111">
        <f t="shared" si="84"/>
        <v>0</v>
      </c>
      <c r="AL142" s="108">
        <v>5107.91</v>
      </c>
      <c r="AM142" s="109">
        <v>5107.91</v>
      </c>
      <c r="AN142" s="111">
        <f t="shared" si="653"/>
        <v>0</v>
      </c>
      <c r="AO142" s="108">
        <v>5107.91</v>
      </c>
      <c r="AP142" s="109">
        <v>5107.91</v>
      </c>
      <c r="AQ142" s="111">
        <f t="shared" si="655"/>
        <v>0</v>
      </c>
      <c r="AR142" s="108">
        <v>5107.91</v>
      </c>
      <c r="AS142" s="109">
        <v>5107.91</v>
      </c>
      <c r="AT142" s="111">
        <f t="shared" si="657"/>
        <v>0</v>
      </c>
      <c r="AU142" s="108">
        <v>5107.91</v>
      </c>
      <c r="AV142" s="109">
        <v>5107.91</v>
      </c>
      <c r="AW142" s="111">
        <f t="shared" si="659"/>
        <v>0</v>
      </c>
      <c r="AX142" s="108">
        <v>5107.91</v>
      </c>
      <c r="AY142" s="109">
        <v>5107.91</v>
      </c>
      <c r="AZ142" s="111">
        <f t="shared" si="661"/>
        <v>0</v>
      </c>
      <c r="BA142" s="108">
        <v>5107.91</v>
      </c>
      <c r="BB142" s="109">
        <v>5107.91</v>
      </c>
      <c r="BC142" s="111">
        <f t="shared" si="663"/>
        <v>0</v>
      </c>
      <c r="BD142" s="16"/>
      <c r="BE142" s="108">
        <v>5107.91</v>
      </c>
      <c r="BF142" s="109">
        <v>5107.91</v>
      </c>
      <c r="BG142" s="111">
        <f t="shared" si="685"/>
        <v>0</v>
      </c>
      <c r="BH142" s="108">
        <v>5107.91</v>
      </c>
      <c r="BI142" s="109">
        <v>5107.91</v>
      </c>
      <c r="BJ142" s="111">
        <f t="shared" si="687"/>
        <v>0</v>
      </c>
      <c r="BK142" s="72"/>
      <c r="BL142" s="73"/>
      <c r="BM142" s="76">
        <f t="shared" si="689"/>
        <v>0</v>
      </c>
    </row>
    <row r="143" ht="15.75" customHeight="1" outlineLevel="1">
      <c r="A143" s="69"/>
      <c r="B143" s="129"/>
      <c r="C143" s="71" t="s">
        <v>6</v>
      </c>
      <c r="D143" s="69"/>
      <c r="E143" s="72">
        <f t="shared" si="1239"/>
        <v>0</v>
      </c>
      <c r="F143" s="73">
        <f t="shared" si="1240"/>
        <v>0</v>
      </c>
      <c r="G143" s="73">
        <f t="shared" si="1241"/>
        <v>0</v>
      </c>
      <c r="H143" s="74">
        <f t="shared" si="1238"/>
        <v>0</v>
      </c>
      <c r="I143" s="16"/>
      <c r="J143" s="72" t="s">
        <v>7</v>
      </c>
      <c r="K143" s="73"/>
      <c r="L143" s="74" t="s">
        <v>7</v>
      </c>
      <c r="M143" s="72" t="s">
        <v>7</v>
      </c>
      <c r="N143" s="73"/>
      <c r="O143" s="74" t="s">
        <v>7</v>
      </c>
      <c r="P143" s="72" t="s">
        <v>7</v>
      </c>
      <c r="Q143" s="73"/>
      <c r="R143" s="74" t="s">
        <v>7</v>
      </c>
      <c r="S143" s="69"/>
      <c r="T143" s="72" t="s">
        <v>7</v>
      </c>
      <c r="U143" s="73"/>
      <c r="V143" s="74" t="s">
        <v>7</v>
      </c>
      <c r="W143" s="72" t="s">
        <v>7</v>
      </c>
      <c r="X143" s="73"/>
      <c r="Y143" s="74" t="s">
        <v>7</v>
      </c>
      <c r="Z143" s="72"/>
      <c r="AA143" s="73"/>
      <c r="AB143" s="76">
        <f t="shared" si="78"/>
        <v>0</v>
      </c>
      <c r="AC143" s="72"/>
      <c r="AD143" s="73"/>
      <c r="AE143" s="76">
        <f t="shared" si="80"/>
        <v>0</v>
      </c>
      <c r="AF143" s="72"/>
      <c r="AG143" s="73"/>
      <c r="AH143" s="76">
        <f t="shared" si="82"/>
        <v>0</v>
      </c>
      <c r="AI143" s="72"/>
      <c r="AJ143" s="73"/>
      <c r="AK143" s="76">
        <f t="shared" si="84"/>
        <v>0</v>
      </c>
      <c r="AL143" s="72"/>
      <c r="AM143" s="73"/>
      <c r="AN143" s="76">
        <f t="shared" si="653"/>
        <v>0</v>
      </c>
      <c r="AO143" s="72"/>
      <c r="AP143" s="73"/>
      <c r="AQ143" s="76">
        <f t="shared" si="655"/>
        <v>0</v>
      </c>
      <c r="AR143" s="72"/>
      <c r="AS143" s="73"/>
      <c r="AT143" s="76">
        <f t="shared" si="657"/>
        <v>0</v>
      </c>
      <c r="AU143" s="72"/>
      <c r="AV143" s="73"/>
      <c r="AW143" s="76">
        <f t="shared" si="659"/>
        <v>0</v>
      </c>
      <c r="AX143" s="72"/>
      <c r="AY143" s="73"/>
      <c r="AZ143" s="76">
        <f t="shared" si="661"/>
        <v>0</v>
      </c>
      <c r="BA143" s="72"/>
      <c r="BB143" s="73"/>
      <c r="BC143" s="76">
        <f t="shared" si="663"/>
        <v>0</v>
      </c>
      <c r="BD143" s="16"/>
      <c r="BE143" s="72"/>
      <c r="BF143" s="73"/>
      <c r="BG143" s="76">
        <f t="shared" si="685"/>
        <v>0</v>
      </c>
      <c r="BH143" s="72"/>
      <c r="BI143" s="73"/>
      <c r="BJ143" s="76">
        <f t="shared" si="687"/>
        <v>0</v>
      </c>
      <c r="BK143" s="72"/>
      <c r="BL143" s="73"/>
      <c r="BM143" s="76">
        <f t="shared" si="689"/>
        <v>0</v>
      </c>
    </row>
    <row r="144" ht="15.75" customHeight="1" outlineLevel="1">
      <c r="A144" s="69"/>
      <c r="B144" s="129"/>
      <c r="C144" s="71" t="s">
        <v>6</v>
      </c>
      <c r="D144" s="69"/>
      <c r="E144" s="72">
        <f t="shared" si="1239"/>
        <v>0</v>
      </c>
      <c r="F144" s="73">
        <f t="shared" si="1240"/>
        <v>0</v>
      </c>
      <c r="G144" s="73">
        <f t="shared" si="1241"/>
        <v>0</v>
      </c>
      <c r="H144" s="74">
        <f t="shared" si="1238"/>
        <v>0</v>
      </c>
      <c r="I144" s="16"/>
      <c r="J144" s="72" t="s">
        <v>7</v>
      </c>
      <c r="K144" s="73"/>
      <c r="L144" s="74" t="s">
        <v>7</v>
      </c>
      <c r="M144" s="72" t="s">
        <v>7</v>
      </c>
      <c r="N144" s="73"/>
      <c r="O144" s="74" t="s">
        <v>7</v>
      </c>
      <c r="P144" s="72" t="s">
        <v>7</v>
      </c>
      <c r="Q144" s="73"/>
      <c r="R144" s="74" t="s">
        <v>7</v>
      </c>
      <c r="S144" s="69"/>
      <c r="T144" s="72" t="s">
        <v>7</v>
      </c>
      <c r="U144" s="73"/>
      <c r="V144" s="74" t="s">
        <v>7</v>
      </c>
      <c r="W144" s="72" t="s">
        <v>7</v>
      </c>
      <c r="X144" s="73"/>
      <c r="Y144" s="74" t="s">
        <v>7</v>
      </c>
      <c r="Z144" s="72"/>
      <c r="AA144" s="73"/>
      <c r="AB144" s="76">
        <f t="shared" si="78"/>
        <v>0</v>
      </c>
      <c r="AC144" s="72"/>
      <c r="AD144" s="73"/>
      <c r="AE144" s="76">
        <f t="shared" si="80"/>
        <v>0</v>
      </c>
      <c r="AF144" s="72"/>
      <c r="AG144" s="73"/>
      <c r="AH144" s="76">
        <f t="shared" si="82"/>
        <v>0</v>
      </c>
      <c r="AI144" s="72"/>
      <c r="AJ144" s="73"/>
      <c r="AK144" s="76">
        <f t="shared" si="84"/>
        <v>0</v>
      </c>
      <c r="AL144" s="72"/>
      <c r="AM144" s="73"/>
      <c r="AN144" s="76">
        <f t="shared" si="653"/>
        <v>0</v>
      </c>
      <c r="AO144" s="72"/>
      <c r="AP144" s="73"/>
      <c r="AQ144" s="76">
        <f t="shared" si="655"/>
        <v>0</v>
      </c>
      <c r="AR144" s="72"/>
      <c r="AS144" s="73"/>
      <c r="AT144" s="76">
        <f t="shared" si="657"/>
        <v>0</v>
      </c>
      <c r="AU144" s="72"/>
      <c r="AV144" s="73"/>
      <c r="AW144" s="76">
        <f t="shared" si="659"/>
        <v>0</v>
      </c>
      <c r="AX144" s="72"/>
      <c r="AY144" s="73"/>
      <c r="AZ144" s="76">
        <f t="shared" si="661"/>
        <v>0</v>
      </c>
      <c r="BA144" s="72"/>
      <c r="BB144" s="73"/>
      <c r="BC144" s="76">
        <f t="shared" si="663"/>
        <v>0</v>
      </c>
      <c r="BD144" s="16"/>
      <c r="BE144" s="72"/>
      <c r="BF144" s="73"/>
      <c r="BG144" s="76">
        <f t="shared" si="685"/>
        <v>0</v>
      </c>
      <c r="BH144" s="72"/>
      <c r="BI144" s="73"/>
      <c r="BJ144" s="76">
        <f t="shared" si="687"/>
        <v>0</v>
      </c>
      <c r="BK144" s="72"/>
      <c r="BL144" s="73"/>
      <c r="BM144" s="76">
        <f t="shared" si="689"/>
        <v>0</v>
      </c>
    </row>
    <row r="145" ht="15.75" customHeight="1">
      <c r="A145" s="150"/>
      <c r="B145" s="151" t="s">
        <v>58</v>
      </c>
      <c r="C145" s="152" t="s">
        <v>6</v>
      </c>
      <c r="D145" s="2"/>
      <c r="E145" s="153">
        <f t="shared" ref="E145:G145" si="1242">SUM(E146:E149)</f>
        <v>52107.17</v>
      </c>
      <c r="F145" s="154">
        <f t="shared" si="1242"/>
        <v>535905.9663</v>
      </c>
      <c r="G145" s="154">
        <f t="shared" si="1242"/>
        <v>93891.18363</v>
      </c>
      <c r="H145" s="155">
        <f t="shared" si="1238"/>
        <v>681904.32</v>
      </c>
      <c r="I145" s="16"/>
      <c r="J145" s="153" t="s">
        <v>7</v>
      </c>
      <c r="K145" s="154">
        <f>SUM(K146:K149)</f>
        <v>0</v>
      </c>
      <c r="L145" s="155" t="s">
        <v>7</v>
      </c>
      <c r="M145" s="153" t="s">
        <v>7</v>
      </c>
      <c r="N145" s="154">
        <f>SUM(N146:N149)</f>
        <v>25382.23</v>
      </c>
      <c r="O145" s="155" t="s">
        <v>7</v>
      </c>
      <c r="P145" s="153" t="s">
        <v>7</v>
      </c>
      <c r="Q145" s="154">
        <f>SUM(Q146:Q149)</f>
        <v>26724.94</v>
      </c>
      <c r="R145" s="155" t="s">
        <v>7</v>
      </c>
      <c r="S145" s="2"/>
      <c r="T145" s="153" t="s">
        <v>7</v>
      </c>
      <c r="U145" s="154">
        <f>SUM(U146:U149)</f>
        <v>28255.09176</v>
      </c>
      <c r="V145" s="155" t="s">
        <v>7</v>
      </c>
      <c r="W145" s="153" t="s">
        <v>7</v>
      </c>
      <c r="X145" s="154">
        <f>SUM(X146:X149)</f>
        <v>35805.79801</v>
      </c>
      <c r="Y145" s="155" t="s">
        <v>7</v>
      </c>
      <c r="Z145" s="153">
        <f t="shared" ref="Z145:AA145" si="1243">SUM(Z146:Z149)</f>
        <v>45960.57734</v>
      </c>
      <c r="AA145" s="154">
        <f t="shared" si="1243"/>
        <v>44318.73266</v>
      </c>
      <c r="AB145" s="156">
        <f t="shared" si="78"/>
        <v>-0.03572289086</v>
      </c>
      <c r="AC145" s="153">
        <f t="shared" ref="AC145:AD145" si="1244">SUM(AC146:AC149)</f>
        <v>49483.57348</v>
      </c>
      <c r="AD145" s="154">
        <f t="shared" si="1244"/>
        <v>49483.57348</v>
      </c>
      <c r="AE145" s="156">
        <f t="shared" si="80"/>
        <v>0</v>
      </c>
      <c r="AF145" s="153">
        <f t="shared" ref="AF145:AG145" si="1245">SUM(AF146:AF149)</f>
        <v>48184.60977</v>
      </c>
      <c r="AG145" s="154">
        <f t="shared" si="1245"/>
        <v>48184.60977</v>
      </c>
      <c r="AH145" s="156">
        <f t="shared" si="82"/>
        <v>0</v>
      </c>
      <c r="AI145" s="153">
        <f t="shared" ref="AI145:AJ145" si="1246">SUM(AI146:AI149)</f>
        <v>48184.60977</v>
      </c>
      <c r="AJ145" s="154">
        <f t="shared" si="1246"/>
        <v>48184.60977</v>
      </c>
      <c r="AK145" s="156">
        <f t="shared" si="84"/>
        <v>0</v>
      </c>
      <c r="AL145" s="153">
        <f t="shared" ref="AL145:AM145" si="1247">SUM(AL146:AL149)</f>
        <v>46945.59181</v>
      </c>
      <c r="AM145" s="154">
        <f t="shared" si="1247"/>
        <v>46945.59181</v>
      </c>
      <c r="AN145" s="156">
        <f t="shared" si="653"/>
        <v>0</v>
      </c>
      <c r="AO145" s="153">
        <f t="shared" ref="AO145:AP145" si="1248">SUM(AO146:AO149)</f>
        <v>46945.59181</v>
      </c>
      <c r="AP145" s="154">
        <f t="shared" si="1248"/>
        <v>46945.59181</v>
      </c>
      <c r="AQ145" s="156">
        <f t="shared" si="655"/>
        <v>0</v>
      </c>
      <c r="AR145" s="153">
        <f t="shared" ref="AR145:AS145" si="1249">SUM(AR146:AR149)</f>
        <v>46945.59181</v>
      </c>
      <c r="AS145" s="154">
        <f t="shared" si="1249"/>
        <v>46945.59181</v>
      </c>
      <c r="AT145" s="156">
        <f t="shared" si="657"/>
        <v>0</v>
      </c>
      <c r="AU145" s="153">
        <f t="shared" ref="AU145:AV145" si="1250">SUM(AU146:AU149)</f>
        <v>46945.59181</v>
      </c>
      <c r="AV145" s="154">
        <f t="shared" si="1250"/>
        <v>46945.59181</v>
      </c>
      <c r="AW145" s="156">
        <f t="shared" si="659"/>
        <v>0</v>
      </c>
      <c r="AX145" s="153">
        <f t="shared" ref="AX145:AY145" si="1251">SUM(AX146:AX149)</f>
        <v>46945.59181</v>
      </c>
      <c r="AY145" s="154">
        <f t="shared" si="1251"/>
        <v>46945.59181</v>
      </c>
      <c r="AZ145" s="156">
        <f t="shared" si="661"/>
        <v>0</v>
      </c>
      <c r="BA145" s="153">
        <f t="shared" ref="BA145:BB145" si="1252">SUM(BA146:BA149)</f>
        <v>46945.59181</v>
      </c>
      <c r="BB145" s="154">
        <f t="shared" si="1252"/>
        <v>46945.59181</v>
      </c>
      <c r="BC145" s="156">
        <f t="shared" si="663"/>
        <v>0</v>
      </c>
      <c r="BD145" s="16"/>
      <c r="BE145" s="153">
        <f t="shared" ref="BE145:BF145" si="1253">SUM(BE146:BE149)</f>
        <v>46945.59181</v>
      </c>
      <c r="BF145" s="154">
        <f t="shared" si="1253"/>
        <v>46945.59181</v>
      </c>
      <c r="BG145" s="156">
        <f t="shared" si="685"/>
        <v>0</v>
      </c>
      <c r="BH145" s="153">
        <f t="shared" ref="BH145:BI145" si="1254">SUM(BH146:BH149)</f>
        <v>46945.59181</v>
      </c>
      <c r="BI145" s="154">
        <f t="shared" si="1254"/>
        <v>46945.59181</v>
      </c>
      <c r="BJ145" s="156">
        <f t="shared" si="687"/>
        <v>0</v>
      </c>
      <c r="BK145" s="153">
        <f t="shared" ref="BK145:BL145" si="1255">SUM(BK146:BK149)</f>
        <v>0</v>
      </c>
      <c r="BL145" s="154">
        <f t="shared" si="1255"/>
        <v>0</v>
      </c>
      <c r="BM145" s="156">
        <f t="shared" si="689"/>
        <v>0</v>
      </c>
    </row>
    <row r="146" ht="15.75" customHeight="1" outlineLevel="1">
      <c r="A146" s="69"/>
      <c r="B146" s="129" t="s">
        <v>59</v>
      </c>
      <c r="C146" s="71" t="s">
        <v>6</v>
      </c>
      <c r="D146" s="69"/>
      <c r="E146" s="72">
        <f t="shared" ref="E146:E149" si="1257">K146+N146+Q146</f>
        <v>45550.98</v>
      </c>
      <c r="F146" s="73">
        <f t="shared" ref="F146:F149" si="1258">U146+X146+AA146+AD146+AG146+AJ146+AM146+AP146+AS146+AV146+AY146+BB146</f>
        <v>48152.49281</v>
      </c>
      <c r="G146" s="73">
        <f t="shared" ref="G146:G149" si="1259">BF146+BI146+BL146</f>
        <v>0</v>
      </c>
      <c r="H146" s="74">
        <f t="shared" si="1238"/>
        <v>93703.47281</v>
      </c>
      <c r="I146" s="16"/>
      <c r="J146" s="72" t="s">
        <v>7</v>
      </c>
      <c r="K146" s="73"/>
      <c r="L146" s="74" t="s">
        <v>7</v>
      </c>
      <c r="M146" s="72" t="s">
        <v>7</v>
      </c>
      <c r="N146" s="73">
        <v>22104.23</v>
      </c>
      <c r="O146" s="74" t="s">
        <v>7</v>
      </c>
      <c r="P146" s="72" t="s">
        <v>7</v>
      </c>
      <c r="Q146" s="73">
        <v>23446.75</v>
      </c>
      <c r="R146" s="74" t="s">
        <v>7</v>
      </c>
      <c r="S146" s="69"/>
      <c r="T146" s="72" t="s">
        <v>7</v>
      </c>
      <c r="U146" s="73">
        <v>23446.75</v>
      </c>
      <c r="V146" s="74" t="s">
        <v>7</v>
      </c>
      <c r="W146" s="72" t="s">
        <v>7</v>
      </c>
      <c r="X146" s="73">
        <v>23446.75</v>
      </c>
      <c r="Y146" s="74" t="s">
        <v>7</v>
      </c>
      <c r="Z146" s="72"/>
      <c r="AA146" s="73"/>
      <c r="AB146" s="76">
        <f t="shared" si="78"/>
        <v>0</v>
      </c>
      <c r="AC146" s="157">
        <f t="shared" ref="AC146:AD146" si="1256">7000/$C$163</f>
        <v>1258.992806</v>
      </c>
      <c r="AD146" s="157">
        <f t="shared" si="1256"/>
        <v>1258.992806</v>
      </c>
      <c r="AE146" s="76">
        <f t="shared" si="80"/>
        <v>0</v>
      </c>
      <c r="AF146" s="72"/>
      <c r="AG146" s="73"/>
      <c r="AH146" s="76">
        <f t="shared" si="82"/>
        <v>0</v>
      </c>
      <c r="AI146" s="72"/>
      <c r="AJ146" s="73"/>
      <c r="AK146" s="76">
        <f t="shared" si="84"/>
        <v>0</v>
      </c>
      <c r="AL146" s="72"/>
      <c r="AM146" s="73"/>
      <c r="AN146" s="76">
        <f t="shared" si="653"/>
        <v>0</v>
      </c>
      <c r="AO146" s="72"/>
      <c r="AP146" s="73"/>
      <c r="AQ146" s="76">
        <f t="shared" si="655"/>
        <v>0</v>
      </c>
      <c r="AR146" s="72"/>
      <c r="AS146" s="73"/>
      <c r="AT146" s="76">
        <f t="shared" si="657"/>
        <v>0</v>
      </c>
      <c r="AU146" s="72"/>
      <c r="AV146" s="73"/>
      <c r="AW146" s="76">
        <f t="shared" si="659"/>
        <v>0</v>
      </c>
      <c r="AX146" s="72"/>
      <c r="AY146" s="73"/>
      <c r="AZ146" s="76">
        <f t="shared" si="661"/>
        <v>0</v>
      </c>
      <c r="BA146" s="72"/>
      <c r="BB146" s="73"/>
      <c r="BC146" s="76">
        <f t="shared" si="663"/>
        <v>0</v>
      </c>
      <c r="BD146" s="16"/>
      <c r="BE146" s="72"/>
      <c r="BF146" s="73"/>
      <c r="BG146" s="76">
        <f t="shared" si="685"/>
        <v>0</v>
      </c>
      <c r="BH146" s="72"/>
      <c r="BI146" s="73"/>
      <c r="BJ146" s="76">
        <f t="shared" si="687"/>
        <v>0</v>
      </c>
      <c r="BK146" s="72"/>
      <c r="BL146" s="73"/>
      <c r="BM146" s="76">
        <f t="shared" si="689"/>
        <v>0</v>
      </c>
    </row>
    <row r="147" ht="15.75" customHeight="1" outlineLevel="1">
      <c r="A147" s="69"/>
      <c r="B147" s="129" t="s">
        <v>60</v>
      </c>
      <c r="C147" s="71" t="s">
        <v>6</v>
      </c>
      <c r="D147" s="69"/>
      <c r="E147" s="72">
        <f t="shared" si="1257"/>
        <v>0</v>
      </c>
      <c r="F147" s="73">
        <f t="shared" si="1258"/>
        <v>267835.2</v>
      </c>
      <c r="G147" s="73">
        <f t="shared" si="1259"/>
        <v>53567.04</v>
      </c>
      <c r="H147" s="74">
        <f t="shared" si="1238"/>
        <v>321402.24</v>
      </c>
      <c r="I147" s="16"/>
      <c r="J147" s="72" t="s">
        <v>7</v>
      </c>
      <c r="K147" s="73"/>
      <c r="L147" s="74" t="s">
        <v>7</v>
      </c>
      <c r="M147" s="72" t="s">
        <v>7</v>
      </c>
      <c r="N147" s="73"/>
      <c r="O147" s="74" t="s">
        <v>7</v>
      </c>
      <c r="P147" s="72" t="s">
        <v>7</v>
      </c>
      <c r="Q147" s="73"/>
      <c r="R147" s="74" t="s">
        <v>7</v>
      </c>
      <c r="S147" s="69"/>
      <c r="T147" s="72" t="s">
        <v>7</v>
      </c>
      <c r="U147" s="73"/>
      <c r="V147" s="74" t="s">
        <v>7</v>
      </c>
      <c r="W147" s="72" t="s">
        <v>7</v>
      </c>
      <c r="X147" s="73"/>
      <c r="Y147" s="74" t="s">
        <v>7</v>
      </c>
      <c r="Z147" s="73">
        <v>26783.52</v>
      </c>
      <c r="AA147" s="73">
        <v>26783.52</v>
      </c>
      <c r="AB147" s="76">
        <v>0.0</v>
      </c>
      <c r="AC147" s="73">
        <v>26783.52</v>
      </c>
      <c r="AD147" s="73">
        <v>26783.52</v>
      </c>
      <c r="AE147" s="76">
        <v>0.0</v>
      </c>
      <c r="AF147" s="73">
        <v>26783.52</v>
      </c>
      <c r="AG147" s="73">
        <v>26783.52</v>
      </c>
      <c r="AH147" s="76">
        <v>0.0</v>
      </c>
      <c r="AI147" s="73">
        <v>26783.52</v>
      </c>
      <c r="AJ147" s="73">
        <v>26783.52</v>
      </c>
      <c r="AK147" s="76">
        <v>0.0</v>
      </c>
      <c r="AL147" s="73">
        <v>26783.52</v>
      </c>
      <c r="AM147" s="73">
        <v>26783.52</v>
      </c>
      <c r="AN147" s="76">
        <v>0.0</v>
      </c>
      <c r="AO147" s="73">
        <v>26783.52</v>
      </c>
      <c r="AP147" s="73">
        <v>26783.52</v>
      </c>
      <c r="AQ147" s="76">
        <v>0.0</v>
      </c>
      <c r="AR147" s="73">
        <v>26783.52</v>
      </c>
      <c r="AS147" s="73">
        <v>26783.52</v>
      </c>
      <c r="AT147" s="76">
        <v>0.0</v>
      </c>
      <c r="AU147" s="73">
        <v>26783.52</v>
      </c>
      <c r="AV147" s="73">
        <v>26783.52</v>
      </c>
      <c r="AW147" s="76">
        <v>0.0</v>
      </c>
      <c r="AX147" s="73">
        <v>26783.52</v>
      </c>
      <c r="AY147" s="73">
        <v>26783.52</v>
      </c>
      <c r="AZ147" s="76">
        <v>0.0</v>
      </c>
      <c r="BA147" s="73">
        <v>26783.52</v>
      </c>
      <c r="BB147" s="73">
        <v>26783.52</v>
      </c>
      <c r="BC147" s="76">
        <v>0.0</v>
      </c>
      <c r="BD147" s="16"/>
      <c r="BE147" s="73">
        <v>26783.52</v>
      </c>
      <c r="BF147" s="73">
        <v>26783.52</v>
      </c>
      <c r="BG147" s="76">
        <v>0.0</v>
      </c>
      <c r="BH147" s="73">
        <v>26783.52</v>
      </c>
      <c r="BI147" s="73">
        <v>26783.52</v>
      </c>
      <c r="BJ147" s="76">
        <v>0.0</v>
      </c>
      <c r="BK147" s="72"/>
      <c r="BL147" s="73"/>
      <c r="BM147" s="76">
        <f t="shared" si="689"/>
        <v>0</v>
      </c>
    </row>
    <row r="148" ht="15.75" customHeight="1" outlineLevel="1">
      <c r="A148" s="69"/>
      <c r="B148" s="129" t="s">
        <v>61</v>
      </c>
      <c r="C148" s="71" t="s">
        <v>6</v>
      </c>
      <c r="D148" s="69"/>
      <c r="E148" s="72">
        <f t="shared" si="1257"/>
        <v>6556.19</v>
      </c>
      <c r="F148" s="73">
        <f t="shared" si="1258"/>
        <v>212724.0335</v>
      </c>
      <c r="G148" s="73">
        <f t="shared" si="1259"/>
        <v>40324.14363</v>
      </c>
      <c r="H148" s="74">
        <f t="shared" si="1238"/>
        <v>259604.3672</v>
      </c>
      <c r="I148" s="16"/>
      <c r="J148" s="72" t="s">
        <v>7</v>
      </c>
      <c r="K148" s="73"/>
      <c r="L148" s="74" t="s">
        <v>7</v>
      </c>
      <c r="M148" s="72" t="s">
        <v>7</v>
      </c>
      <c r="N148" s="158">
        <v>3278.0</v>
      </c>
      <c r="O148" s="74" t="s">
        <v>7</v>
      </c>
      <c r="P148" s="72" t="s">
        <v>7</v>
      </c>
      <c r="Q148" s="73">
        <v>3278.19</v>
      </c>
      <c r="R148" s="74" t="s">
        <v>7</v>
      </c>
      <c r="S148" s="69"/>
      <c r="T148" s="72" t="s">
        <v>7</v>
      </c>
      <c r="U148" s="73">
        <f>(U15+U30+U39+U33+U42+U45+U54+U57+U66)*7.99481%</f>
        <v>4808.341763</v>
      </c>
      <c r="V148" s="74" t="s">
        <v>7</v>
      </c>
      <c r="W148" s="72" t="s">
        <v>7</v>
      </c>
      <c r="X148" s="75">
        <v>8761.92800912</v>
      </c>
      <c r="Y148" s="74" t="s">
        <v>7</v>
      </c>
      <c r="Z148" s="75">
        <f t="shared" ref="Z148:AA148" si="1260">(Z27+Z12+Z66+Z69)*7.99418%</f>
        <v>15579.93734</v>
      </c>
      <c r="AA148" s="75">
        <f t="shared" si="1260"/>
        <v>13938.09266</v>
      </c>
      <c r="AB148" s="76">
        <f t="shared" ref="AB148:AB149" si="1272">IFERROR(((AA148-Z148)/Z148),0)</f>
        <v>-0.1053819827</v>
      </c>
      <c r="AC148" s="75">
        <f t="shared" ref="AC148:AD148" si="1261">(AC27+AC12+AC66+AC69)*7.99418%</f>
        <v>21441.06067</v>
      </c>
      <c r="AD148" s="75">
        <f t="shared" si="1261"/>
        <v>21441.06067</v>
      </c>
      <c r="AE148" s="76">
        <f t="shared" ref="AE148:AE149" si="1273">IFERROR(((AD148-AC148)/AC148),0)</f>
        <v>0</v>
      </c>
      <c r="AF148" s="75">
        <f t="shared" ref="AF148:AG148" si="1262">(AF27+AF12+AF66+AF69)*7.99418%</f>
        <v>21401.08977</v>
      </c>
      <c r="AG148" s="75">
        <f t="shared" si="1262"/>
        <v>21401.08977</v>
      </c>
      <c r="AH148" s="76">
        <f t="shared" ref="AH148:AH150" si="1274">IFERROR(((AG148-AF148)/AF148),0)</f>
        <v>0</v>
      </c>
      <c r="AI148" s="75">
        <f t="shared" ref="AI148:AJ148" si="1263">(AI27+AI12+AI66+AI69)*7.99418%</f>
        <v>21401.08977</v>
      </c>
      <c r="AJ148" s="75">
        <f t="shared" si="1263"/>
        <v>21401.08977</v>
      </c>
      <c r="AK148" s="76">
        <f t="shared" ref="AK148:AK150" si="1275">IFERROR(((AJ148-AI148)/AI148),0)</f>
        <v>0</v>
      </c>
      <c r="AL148" s="75">
        <f t="shared" ref="AL148:AM148" si="1264">(AL27+AL12+AL66)*7.99418%</f>
        <v>20162.07181</v>
      </c>
      <c r="AM148" s="75">
        <f t="shared" si="1264"/>
        <v>20162.07181</v>
      </c>
      <c r="AN148" s="76">
        <f t="shared" ref="AN148:AN150" si="1276">IFERROR(((AM148-AL148)/AL148),0)</f>
        <v>0</v>
      </c>
      <c r="AO148" s="75">
        <f t="shared" ref="AO148:AP148" si="1265">(AO27+AO12+AO66)*7.99418%</f>
        <v>20162.07181</v>
      </c>
      <c r="AP148" s="75">
        <f t="shared" si="1265"/>
        <v>20162.07181</v>
      </c>
      <c r="AQ148" s="76">
        <f t="shared" ref="AQ148:AQ150" si="1277">IFERROR(((AP148-AO148)/AO148),0)</f>
        <v>0</v>
      </c>
      <c r="AR148" s="75">
        <f t="shared" ref="AR148:AS148" si="1266">(AR27+AR12+AR66)*7.99418%</f>
        <v>20162.07181</v>
      </c>
      <c r="AS148" s="75">
        <f t="shared" si="1266"/>
        <v>20162.07181</v>
      </c>
      <c r="AT148" s="76">
        <f t="shared" ref="AT148:AT150" si="1278">IFERROR(((AS148-AR148)/AR148),0)</f>
        <v>0</v>
      </c>
      <c r="AU148" s="75">
        <f t="shared" ref="AU148:AV148" si="1267">(AU27+AU12+AU66)*7.99418%</f>
        <v>20162.07181</v>
      </c>
      <c r="AV148" s="75">
        <f t="shared" si="1267"/>
        <v>20162.07181</v>
      </c>
      <c r="AW148" s="76">
        <f t="shared" ref="AW148:AW150" si="1279">IFERROR(((AV148-AU148)/AU148),0)</f>
        <v>0</v>
      </c>
      <c r="AX148" s="75">
        <f t="shared" ref="AX148:AY148" si="1268">(AX27+AX12+AX66)*7.99418%</f>
        <v>20162.07181</v>
      </c>
      <c r="AY148" s="75">
        <f t="shared" si="1268"/>
        <v>20162.07181</v>
      </c>
      <c r="AZ148" s="76">
        <f t="shared" ref="AZ148:AZ150" si="1280">IFERROR(((AY148-AX148)/AX148),0)</f>
        <v>0</v>
      </c>
      <c r="BA148" s="75">
        <f t="shared" ref="BA148:BB148" si="1269">(BA27+BA12+BA66)*7.99418%</f>
        <v>20162.07181</v>
      </c>
      <c r="BB148" s="75">
        <f t="shared" si="1269"/>
        <v>20162.07181</v>
      </c>
      <c r="BC148" s="76">
        <f t="shared" ref="BC148:BC150" si="1281">IFERROR(((BB148-BA148)/BA148),0)</f>
        <v>0</v>
      </c>
      <c r="BD148" s="16"/>
      <c r="BE148" s="75">
        <f t="shared" ref="BE148:BF148" si="1270">(BE27+BE12+BE66)*7.99418%</f>
        <v>20162.07181</v>
      </c>
      <c r="BF148" s="75">
        <f t="shared" si="1270"/>
        <v>20162.07181</v>
      </c>
      <c r="BG148" s="76">
        <f t="shared" ref="BG148:BG150" si="1282">IFERROR(((BF148-BE148)/BE148),0)</f>
        <v>0</v>
      </c>
      <c r="BH148" s="75">
        <f t="shared" ref="BH148:BI148" si="1271">(BH27+BH12+BH66)*7.99418%</f>
        <v>20162.07181</v>
      </c>
      <c r="BI148" s="75">
        <f t="shared" si="1271"/>
        <v>20162.07181</v>
      </c>
      <c r="BJ148" s="76">
        <f t="shared" ref="BJ148:BJ150" si="1283">IFERROR(((BI148-BH148)/BH148),0)</f>
        <v>0</v>
      </c>
      <c r="BK148" s="72"/>
      <c r="BL148" s="73"/>
      <c r="BM148" s="76">
        <f t="shared" si="689"/>
        <v>0</v>
      </c>
    </row>
    <row r="149" ht="15.75" customHeight="1" outlineLevel="1">
      <c r="A149" s="69"/>
      <c r="B149" s="129" t="s">
        <v>62</v>
      </c>
      <c r="C149" s="71" t="s">
        <v>6</v>
      </c>
      <c r="D149" s="69"/>
      <c r="E149" s="72">
        <f t="shared" si="1257"/>
        <v>0</v>
      </c>
      <c r="F149" s="73">
        <f t="shared" si="1258"/>
        <v>7194.24</v>
      </c>
      <c r="G149" s="73">
        <f t="shared" si="1259"/>
        <v>0</v>
      </c>
      <c r="H149" s="74">
        <f t="shared" si="1238"/>
        <v>7194.24</v>
      </c>
      <c r="I149" s="16"/>
      <c r="J149" s="72" t="s">
        <v>7</v>
      </c>
      <c r="K149" s="73"/>
      <c r="L149" s="74" t="s">
        <v>7</v>
      </c>
      <c r="M149" s="72" t="s">
        <v>7</v>
      </c>
      <c r="N149" s="73"/>
      <c r="O149" s="74" t="s">
        <v>7</v>
      </c>
      <c r="P149" s="72" t="s">
        <v>7</v>
      </c>
      <c r="Q149" s="73"/>
      <c r="R149" s="74" t="s">
        <v>7</v>
      </c>
      <c r="S149" s="69"/>
      <c r="T149" s="72" t="s">
        <v>7</v>
      </c>
      <c r="U149" s="73"/>
      <c r="V149" s="74" t="s">
        <v>7</v>
      </c>
      <c r="W149" s="72" t="s">
        <v>7</v>
      </c>
      <c r="X149" s="73">
        <v>3597.12</v>
      </c>
      <c r="Y149" s="74" t="s">
        <v>7</v>
      </c>
      <c r="Z149" s="72">
        <v>3597.12</v>
      </c>
      <c r="AA149" s="73">
        <v>3597.12</v>
      </c>
      <c r="AB149" s="76">
        <f t="shared" si="1272"/>
        <v>0</v>
      </c>
      <c r="AC149" s="72"/>
      <c r="AD149" s="73"/>
      <c r="AE149" s="76">
        <f t="shared" si="1273"/>
        <v>0</v>
      </c>
      <c r="AF149" s="72"/>
      <c r="AG149" s="73"/>
      <c r="AH149" s="76">
        <f t="shared" si="1274"/>
        <v>0</v>
      </c>
      <c r="AI149" s="72"/>
      <c r="AJ149" s="73"/>
      <c r="AK149" s="76">
        <f t="shared" si="1275"/>
        <v>0</v>
      </c>
      <c r="AL149" s="72"/>
      <c r="AM149" s="73"/>
      <c r="AN149" s="76">
        <f t="shared" si="1276"/>
        <v>0</v>
      </c>
      <c r="AO149" s="72"/>
      <c r="AP149" s="73"/>
      <c r="AQ149" s="76">
        <f t="shared" si="1277"/>
        <v>0</v>
      </c>
      <c r="AR149" s="72"/>
      <c r="AS149" s="73"/>
      <c r="AT149" s="76">
        <f t="shared" si="1278"/>
        <v>0</v>
      </c>
      <c r="AU149" s="72"/>
      <c r="AV149" s="73"/>
      <c r="AW149" s="76">
        <f t="shared" si="1279"/>
        <v>0</v>
      </c>
      <c r="AX149" s="72"/>
      <c r="AY149" s="73"/>
      <c r="AZ149" s="76">
        <f t="shared" si="1280"/>
        <v>0</v>
      </c>
      <c r="BA149" s="72"/>
      <c r="BB149" s="73"/>
      <c r="BC149" s="76">
        <f t="shared" si="1281"/>
        <v>0</v>
      </c>
      <c r="BD149" s="16"/>
      <c r="BE149" s="72"/>
      <c r="BF149" s="73"/>
      <c r="BG149" s="76">
        <f t="shared" si="1282"/>
        <v>0</v>
      </c>
      <c r="BH149" s="72"/>
      <c r="BI149" s="73"/>
      <c r="BJ149" s="76">
        <f t="shared" si="1283"/>
        <v>0</v>
      </c>
      <c r="BK149" s="72"/>
      <c r="BL149" s="73"/>
      <c r="BM149" s="76">
        <f t="shared" si="689"/>
        <v>0</v>
      </c>
    </row>
    <row r="150" ht="15.75" customHeight="1">
      <c r="A150" s="150"/>
      <c r="B150" s="159" t="s">
        <v>63</v>
      </c>
      <c r="C150" s="152" t="s">
        <v>6</v>
      </c>
      <c r="D150" s="2"/>
      <c r="E150" s="39">
        <f t="shared" ref="E150:H150" si="1284">SUM(E151:E155)</f>
        <v>0</v>
      </c>
      <c r="F150" s="39">
        <f t="shared" si="1284"/>
        <v>300000</v>
      </c>
      <c r="G150" s="39">
        <f t="shared" si="1284"/>
        <v>0</v>
      </c>
      <c r="H150" s="132">
        <f t="shared" si="1284"/>
        <v>300000</v>
      </c>
      <c r="I150" s="16"/>
      <c r="J150" s="153"/>
      <c r="K150" s="154"/>
      <c r="L150" s="155"/>
      <c r="M150" s="153"/>
      <c r="N150" s="154"/>
      <c r="O150" s="155"/>
      <c r="P150" s="153"/>
      <c r="Q150" s="154"/>
      <c r="R150" s="155"/>
      <c r="S150" s="2"/>
      <c r="T150" s="153"/>
      <c r="U150" s="154"/>
      <c r="V150" s="155"/>
      <c r="W150" s="153">
        <f t="shared" ref="W150:X150" si="1285">SUM(W151:W155)</f>
        <v>0</v>
      </c>
      <c r="X150" s="153">
        <f t="shared" si="1285"/>
        <v>0</v>
      </c>
      <c r="Y150" s="155"/>
      <c r="Z150" s="153">
        <f t="shared" ref="Z150:AA150" si="1286">SUM(Z151:Z155)</f>
        <v>0</v>
      </c>
      <c r="AA150" s="153">
        <f t="shared" si="1286"/>
        <v>0</v>
      </c>
      <c r="AB150" s="156"/>
      <c r="AC150" s="153">
        <f t="shared" ref="AC150:AD150" si="1287">SUM(AC151:AC155)</f>
        <v>33333.33333</v>
      </c>
      <c r="AD150" s="153">
        <f t="shared" si="1287"/>
        <v>33333.33333</v>
      </c>
      <c r="AE150" s="156"/>
      <c r="AF150" s="153">
        <f t="shared" ref="AF150:AG150" si="1288">SUM(AF151:AF155)</f>
        <v>33333.33333</v>
      </c>
      <c r="AG150" s="153">
        <f t="shared" si="1288"/>
        <v>33333.33333</v>
      </c>
      <c r="AH150" s="156">
        <f t="shared" si="1274"/>
        <v>0</v>
      </c>
      <c r="AI150" s="153">
        <f t="shared" ref="AI150:AJ150" si="1289">SUM(AI151:AI155)</f>
        <v>33333.33333</v>
      </c>
      <c r="AJ150" s="153">
        <f t="shared" si="1289"/>
        <v>33333.33333</v>
      </c>
      <c r="AK150" s="156">
        <f t="shared" si="1275"/>
        <v>0</v>
      </c>
      <c r="AL150" s="153">
        <f t="shared" ref="AL150:AM150" si="1290">SUM(AL151:AL155)</f>
        <v>33333.33333</v>
      </c>
      <c r="AM150" s="153">
        <f t="shared" si="1290"/>
        <v>33333.33333</v>
      </c>
      <c r="AN150" s="156">
        <f t="shared" si="1276"/>
        <v>0</v>
      </c>
      <c r="AO150" s="153">
        <f t="shared" ref="AO150:AP150" si="1291">SUM(AO151:AO155)</f>
        <v>33333.33333</v>
      </c>
      <c r="AP150" s="153">
        <f t="shared" si="1291"/>
        <v>33333.33333</v>
      </c>
      <c r="AQ150" s="156">
        <f t="shared" si="1277"/>
        <v>0</v>
      </c>
      <c r="AR150" s="153">
        <f t="shared" ref="AR150:AS150" si="1292">SUM(AR151:AR155)</f>
        <v>33333.33333</v>
      </c>
      <c r="AS150" s="153">
        <f t="shared" si="1292"/>
        <v>33333.33333</v>
      </c>
      <c r="AT150" s="156">
        <f t="shared" si="1278"/>
        <v>0</v>
      </c>
      <c r="AU150" s="153">
        <f t="shared" ref="AU150:AV150" si="1293">SUM(AU151:AU155)</f>
        <v>33333.33333</v>
      </c>
      <c r="AV150" s="153">
        <f t="shared" si="1293"/>
        <v>33333.33333</v>
      </c>
      <c r="AW150" s="156">
        <f t="shared" si="1279"/>
        <v>0</v>
      </c>
      <c r="AX150" s="153">
        <f t="shared" ref="AX150:AY150" si="1294">SUM(AX151:AX155)</f>
        <v>33333.33333</v>
      </c>
      <c r="AY150" s="153">
        <f t="shared" si="1294"/>
        <v>33333.33333</v>
      </c>
      <c r="AZ150" s="156">
        <f t="shared" si="1280"/>
        <v>0</v>
      </c>
      <c r="BA150" s="153">
        <f t="shared" ref="BA150:BB150" si="1295">SUM(BA151:BA155)</f>
        <v>33333.33333</v>
      </c>
      <c r="BB150" s="153">
        <f t="shared" si="1295"/>
        <v>33333.33333</v>
      </c>
      <c r="BC150" s="156">
        <f t="shared" si="1281"/>
        <v>0</v>
      </c>
      <c r="BD150" s="16"/>
      <c r="BE150" s="153">
        <f t="shared" ref="BE150:BF150" si="1296">SUM(BE151:BE155)</f>
        <v>0</v>
      </c>
      <c r="BF150" s="153">
        <f t="shared" si="1296"/>
        <v>0</v>
      </c>
      <c r="BG150" s="156">
        <f t="shared" si="1282"/>
        <v>0</v>
      </c>
      <c r="BH150" s="153">
        <f t="shared" ref="BH150:BI150" si="1297">SUM(BH151:BH155)</f>
        <v>0</v>
      </c>
      <c r="BI150" s="153">
        <f t="shared" si="1297"/>
        <v>0</v>
      </c>
      <c r="BJ150" s="156">
        <f t="shared" si="1283"/>
        <v>0</v>
      </c>
      <c r="BK150" s="153">
        <f t="shared" ref="BK150:BL150" si="1298">SUM(BK151:BK155)</f>
        <v>0</v>
      </c>
      <c r="BL150" s="153">
        <f t="shared" si="1298"/>
        <v>0</v>
      </c>
      <c r="BM150" s="156">
        <f t="shared" si="689"/>
        <v>0</v>
      </c>
    </row>
    <row r="151" ht="15.75" customHeight="1" outlineLevel="1">
      <c r="A151" s="69"/>
      <c r="B151" s="160" t="s">
        <v>64</v>
      </c>
      <c r="C151" s="71" t="s">
        <v>6</v>
      </c>
      <c r="D151" s="69"/>
      <c r="E151" s="72">
        <f t="shared" ref="E151:E154" si="1308">K151+N151+Q151</f>
        <v>0</v>
      </c>
      <c r="F151" s="73">
        <f t="shared" ref="F151:F154" si="1309">U151+X151+AA151+AD151+AG151+AJ151+AM151+AP151+AS151+AV151+AY151+BB151</f>
        <v>300000</v>
      </c>
      <c r="G151" s="73">
        <f t="shared" ref="G151:G154" si="1310">BF151+BI151+BL151</f>
        <v>0</v>
      </c>
      <c r="H151" s="74">
        <f t="shared" ref="H151:H154" si="1311">SUM(E151:G151)</f>
        <v>300000</v>
      </c>
      <c r="I151" s="16"/>
      <c r="J151" s="72"/>
      <c r="K151" s="73"/>
      <c r="L151" s="74"/>
      <c r="M151" s="72"/>
      <c r="N151" s="73"/>
      <c r="O151" s="74"/>
      <c r="P151" s="72"/>
      <c r="Q151" s="73"/>
      <c r="R151" s="74"/>
      <c r="S151" s="69"/>
      <c r="T151" s="72"/>
      <c r="U151" s="73"/>
      <c r="V151" s="74"/>
      <c r="W151" s="72"/>
      <c r="X151" s="73"/>
      <c r="Y151" s="74"/>
      <c r="Z151" s="72"/>
      <c r="AA151" s="73"/>
      <c r="AB151" s="76"/>
      <c r="AC151" s="73">
        <f t="shared" ref="AC151:AD151" si="1299">300000/9</f>
        <v>33333.33333</v>
      </c>
      <c r="AD151" s="73">
        <f t="shared" si="1299"/>
        <v>33333.33333</v>
      </c>
      <c r="AE151" s="76"/>
      <c r="AF151" s="73">
        <f t="shared" ref="AF151:AG151" si="1300">300000/9</f>
        <v>33333.33333</v>
      </c>
      <c r="AG151" s="73">
        <f t="shared" si="1300"/>
        <v>33333.33333</v>
      </c>
      <c r="AH151" s="76"/>
      <c r="AI151" s="73">
        <f t="shared" ref="AI151:AJ151" si="1301">300000/9</f>
        <v>33333.33333</v>
      </c>
      <c r="AJ151" s="73">
        <f t="shared" si="1301"/>
        <v>33333.33333</v>
      </c>
      <c r="AK151" s="76"/>
      <c r="AL151" s="73">
        <f t="shared" ref="AL151:AM151" si="1302">300000/9</f>
        <v>33333.33333</v>
      </c>
      <c r="AM151" s="73">
        <f t="shared" si="1302"/>
        <v>33333.33333</v>
      </c>
      <c r="AN151" s="76"/>
      <c r="AO151" s="73">
        <f t="shared" ref="AO151:AP151" si="1303">300000/9</f>
        <v>33333.33333</v>
      </c>
      <c r="AP151" s="73">
        <f t="shared" si="1303"/>
        <v>33333.33333</v>
      </c>
      <c r="AQ151" s="76"/>
      <c r="AR151" s="73">
        <f t="shared" ref="AR151:AS151" si="1304">300000/9</f>
        <v>33333.33333</v>
      </c>
      <c r="AS151" s="73">
        <f t="shared" si="1304"/>
        <v>33333.33333</v>
      </c>
      <c r="AT151" s="76"/>
      <c r="AU151" s="73">
        <f t="shared" ref="AU151:AV151" si="1305">300000/9</f>
        <v>33333.33333</v>
      </c>
      <c r="AV151" s="73">
        <f t="shared" si="1305"/>
        <v>33333.33333</v>
      </c>
      <c r="AW151" s="76"/>
      <c r="AX151" s="73">
        <f t="shared" ref="AX151:AY151" si="1306">300000/9</f>
        <v>33333.33333</v>
      </c>
      <c r="AY151" s="73">
        <f t="shared" si="1306"/>
        <v>33333.33333</v>
      </c>
      <c r="AZ151" s="76"/>
      <c r="BA151" s="73">
        <f t="shared" ref="BA151:BB151" si="1307">300000/9</f>
        <v>33333.33333</v>
      </c>
      <c r="BB151" s="73">
        <f t="shared" si="1307"/>
        <v>33333.33333</v>
      </c>
      <c r="BC151" s="76"/>
      <c r="BD151" s="16"/>
      <c r="BE151" s="72"/>
      <c r="BF151" s="73"/>
      <c r="BG151" s="76"/>
      <c r="BH151" s="72"/>
      <c r="BI151" s="73"/>
      <c r="BJ151" s="76"/>
      <c r="BK151" s="72"/>
      <c r="BL151" s="73"/>
      <c r="BM151" s="76"/>
    </row>
    <row r="152" ht="15.75" customHeight="1" outlineLevel="1">
      <c r="A152" s="69"/>
      <c r="B152" s="160"/>
      <c r="C152" s="71" t="s">
        <v>6</v>
      </c>
      <c r="D152" s="69"/>
      <c r="E152" s="72">
        <f t="shared" si="1308"/>
        <v>0</v>
      </c>
      <c r="F152" s="73">
        <f t="shared" si="1309"/>
        <v>0</v>
      </c>
      <c r="G152" s="73">
        <f t="shared" si="1310"/>
        <v>0</v>
      </c>
      <c r="H152" s="74">
        <f t="shared" si="1311"/>
        <v>0</v>
      </c>
      <c r="I152" s="16"/>
      <c r="J152" s="72"/>
      <c r="K152" s="73"/>
      <c r="L152" s="74"/>
      <c r="M152" s="72"/>
      <c r="N152" s="73"/>
      <c r="O152" s="74"/>
      <c r="P152" s="72"/>
      <c r="Q152" s="73"/>
      <c r="R152" s="74"/>
      <c r="S152" s="69"/>
      <c r="T152" s="72"/>
      <c r="U152" s="73"/>
      <c r="V152" s="74"/>
      <c r="W152" s="72"/>
      <c r="X152" s="73"/>
      <c r="Y152" s="74"/>
      <c r="Z152" s="72"/>
      <c r="AA152" s="73"/>
      <c r="AB152" s="76"/>
      <c r="AC152" s="72"/>
      <c r="AD152" s="73"/>
      <c r="AE152" s="76"/>
      <c r="AF152" s="72"/>
      <c r="AG152" s="73"/>
      <c r="AH152" s="76"/>
      <c r="AI152" s="72"/>
      <c r="AJ152" s="73"/>
      <c r="AK152" s="76"/>
      <c r="AL152" s="72"/>
      <c r="AM152" s="73"/>
      <c r="AN152" s="76"/>
      <c r="AO152" s="72"/>
      <c r="AP152" s="73"/>
      <c r="AQ152" s="76"/>
      <c r="AR152" s="72"/>
      <c r="AS152" s="73"/>
      <c r="AT152" s="76"/>
      <c r="AU152" s="72"/>
      <c r="AV152" s="73"/>
      <c r="AW152" s="76"/>
      <c r="AX152" s="72"/>
      <c r="AY152" s="73"/>
      <c r="AZ152" s="76"/>
      <c r="BA152" s="72"/>
      <c r="BB152" s="73"/>
      <c r="BC152" s="76"/>
      <c r="BD152" s="16"/>
      <c r="BE152" s="72"/>
      <c r="BF152" s="73"/>
      <c r="BG152" s="76"/>
      <c r="BH152" s="72"/>
      <c r="BI152" s="73"/>
      <c r="BJ152" s="76"/>
      <c r="BK152" s="72"/>
      <c r="BL152" s="73"/>
      <c r="BM152" s="76"/>
    </row>
    <row r="153" ht="15.75" customHeight="1" outlineLevel="1">
      <c r="A153" s="69"/>
      <c r="B153" s="160"/>
      <c r="C153" s="71" t="s">
        <v>6</v>
      </c>
      <c r="D153" s="69"/>
      <c r="E153" s="72">
        <f t="shared" si="1308"/>
        <v>0</v>
      </c>
      <c r="F153" s="73">
        <f t="shared" si="1309"/>
        <v>0</v>
      </c>
      <c r="G153" s="73">
        <f t="shared" si="1310"/>
        <v>0</v>
      </c>
      <c r="H153" s="74">
        <f t="shared" si="1311"/>
        <v>0</v>
      </c>
      <c r="I153" s="16"/>
      <c r="J153" s="72"/>
      <c r="K153" s="73"/>
      <c r="L153" s="74"/>
      <c r="M153" s="72"/>
      <c r="N153" s="73"/>
      <c r="O153" s="74"/>
      <c r="P153" s="72"/>
      <c r="Q153" s="73"/>
      <c r="R153" s="74"/>
      <c r="S153" s="69"/>
      <c r="T153" s="72"/>
      <c r="U153" s="73"/>
      <c r="V153" s="74"/>
      <c r="W153" s="72"/>
      <c r="X153" s="73"/>
      <c r="Y153" s="74"/>
      <c r="Z153" s="72"/>
      <c r="AA153" s="73"/>
      <c r="AB153" s="76"/>
      <c r="AC153" s="72"/>
      <c r="AD153" s="73"/>
      <c r="AE153" s="76"/>
      <c r="AF153" s="72"/>
      <c r="AG153" s="73"/>
      <c r="AH153" s="76"/>
      <c r="AI153" s="72"/>
      <c r="AJ153" s="73"/>
      <c r="AK153" s="76"/>
      <c r="AL153" s="72"/>
      <c r="AM153" s="73"/>
      <c r="AN153" s="76"/>
      <c r="AO153" s="72"/>
      <c r="AP153" s="73"/>
      <c r="AQ153" s="76"/>
      <c r="AR153" s="72"/>
      <c r="AS153" s="73"/>
      <c r="AT153" s="76"/>
      <c r="AU153" s="72"/>
      <c r="AV153" s="73"/>
      <c r="AW153" s="76"/>
      <c r="AX153" s="72"/>
      <c r="AY153" s="73"/>
      <c r="AZ153" s="76"/>
      <c r="BA153" s="72"/>
      <c r="BB153" s="73"/>
      <c r="BC153" s="76"/>
      <c r="BD153" s="16"/>
      <c r="BE153" s="72"/>
      <c r="BF153" s="73"/>
      <c r="BG153" s="76"/>
      <c r="BH153" s="72"/>
      <c r="BI153" s="73"/>
      <c r="BJ153" s="76"/>
      <c r="BK153" s="72"/>
      <c r="BL153" s="73"/>
      <c r="BM153" s="76"/>
    </row>
    <row r="154" ht="15.75" customHeight="1" outlineLevel="1">
      <c r="A154" s="69"/>
      <c r="B154" s="160"/>
      <c r="C154" s="71" t="s">
        <v>6</v>
      </c>
      <c r="D154" s="69"/>
      <c r="E154" s="72">
        <f t="shared" si="1308"/>
        <v>0</v>
      </c>
      <c r="F154" s="73">
        <f t="shared" si="1309"/>
        <v>0</v>
      </c>
      <c r="G154" s="73">
        <f t="shared" si="1310"/>
        <v>0</v>
      </c>
      <c r="H154" s="74">
        <f t="shared" si="1311"/>
        <v>0</v>
      </c>
      <c r="I154" s="16"/>
      <c r="J154" s="72"/>
      <c r="K154" s="73"/>
      <c r="L154" s="74"/>
      <c r="M154" s="72"/>
      <c r="N154" s="73"/>
      <c r="O154" s="74"/>
      <c r="P154" s="72"/>
      <c r="Q154" s="73"/>
      <c r="R154" s="74"/>
      <c r="S154" s="69"/>
      <c r="T154" s="72"/>
      <c r="U154" s="73"/>
      <c r="V154" s="74"/>
      <c r="W154" s="72"/>
      <c r="X154" s="73"/>
      <c r="Y154" s="74"/>
      <c r="Z154" s="72"/>
      <c r="AA154" s="73"/>
      <c r="AB154" s="76"/>
      <c r="AC154" s="72"/>
      <c r="AD154" s="73"/>
      <c r="AE154" s="76"/>
      <c r="AF154" s="72"/>
      <c r="AG154" s="73"/>
      <c r="AH154" s="76"/>
      <c r="AI154" s="72"/>
      <c r="AJ154" s="73"/>
      <c r="AK154" s="76"/>
      <c r="AL154" s="72"/>
      <c r="AM154" s="73"/>
      <c r="AN154" s="76"/>
      <c r="AO154" s="72"/>
      <c r="AP154" s="73"/>
      <c r="AQ154" s="76"/>
      <c r="AR154" s="72"/>
      <c r="AS154" s="73"/>
      <c r="AT154" s="76"/>
      <c r="AU154" s="72"/>
      <c r="AV154" s="73"/>
      <c r="AW154" s="76"/>
      <c r="AX154" s="72"/>
      <c r="AY154" s="73"/>
      <c r="AZ154" s="76"/>
      <c r="BA154" s="72"/>
      <c r="BB154" s="73"/>
      <c r="BC154" s="76"/>
      <c r="BD154" s="16"/>
      <c r="BE154" s="72"/>
      <c r="BF154" s="73"/>
      <c r="BG154" s="76"/>
      <c r="BH154" s="72"/>
      <c r="BI154" s="73"/>
      <c r="BJ154" s="76"/>
      <c r="BK154" s="72"/>
      <c r="BL154" s="73"/>
      <c r="BM154" s="76"/>
    </row>
    <row r="155" ht="15.75" customHeight="1" outlineLevel="1">
      <c r="A155" s="69"/>
      <c r="B155" s="99"/>
      <c r="C155" s="161" t="s">
        <v>6</v>
      </c>
      <c r="D155" s="69"/>
      <c r="E155" s="130"/>
      <c r="F155" s="131"/>
      <c r="G155" s="131"/>
      <c r="H155" s="162"/>
      <c r="I155" s="16"/>
      <c r="J155" s="130"/>
      <c r="K155" s="131"/>
      <c r="L155" s="162"/>
      <c r="M155" s="130"/>
      <c r="N155" s="131"/>
      <c r="O155" s="162"/>
      <c r="P155" s="130"/>
      <c r="Q155" s="131"/>
      <c r="R155" s="162"/>
      <c r="S155" s="69"/>
      <c r="T155" s="130"/>
      <c r="U155" s="131"/>
      <c r="V155" s="162"/>
      <c r="W155" s="130"/>
      <c r="X155" s="131"/>
      <c r="Y155" s="162"/>
      <c r="Z155" s="130"/>
      <c r="AA155" s="131"/>
      <c r="AB155" s="163"/>
      <c r="AC155" s="130"/>
      <c r="AD155" s="131"/>
      <c r="AE155" s="163"/>
      <c r="AF155" s="130"/>
      <c r="AG155" s="131"/>
      <c r="AH155" s="163"/>
      <c r="AI155" s="130"/>
      <c r="AJ155" s="131"/>
      <c r="AK155" s="163"/>
      <c r="AL155" s="130"/>
      <c r="AM155" s="131"/>
      <c r="AN155" s="163"/>
      <c r="AO155" s="130"/>
      <c r="AP155" s="131"/>
      <c r="AQ155" s="163"/>
      <c r="AR155" s="130"/>
      <c r="AS155" s="131"/>
      <c r="AT155" s="163"/>
      <c r="AU155" s="130"/>
      <c r="AV155" s="131"/>
      <c r="AW155" s="163"/>
      <c r="AX155" s="130"/>
      <c r="AY155" s="131"/>
      <c r="AZ155" s="163"/>
      <c r="BA155" s="130"/>
      <c r="BB155" s="131"/>
      <c r="BC155" s="163"/>
      <c r="BD155" s="16"/>
      <c r="BE155" s="130"/>
      <c r="BF155" s="131"/>
      <c r="BG155" s="163"/>
      <c r="BH155" s="130"/>
      <c r="BI155" s="131"/>
      <c r="BJ155" s="163"/>
      <c r="BK155" s="130"/>
      <c r="BL155" s="131"/>
      <c r="BM155" s="163"/>
    </row>
    <row r="156" ht="15.75" customHeight="1">
      <c r="A156" s="150"/>
      <c r="B156" s="151" t="s">
        <v>65</v>
      </c>
      <c r="C156" s="152" t="s">
        <v>6</v>
      </c>
      <c r="D156" s="2"/>
      <c r="E156" s="153">
        <f t="shared" ref="E156:G156" si="1312">SUM(E157:E160)</f>
        <v>4751.8</v>
      </c>
      <c r="F156" s="154">
        <f t="shared" si="1312"/>
        <v>12773.75504</v>
      </c>
      <c r="G156" s="154">
        <f t="shared" si="1312"/>
        <v>424</v>
      </c>
      <c r="H156" s="155">
        <f t="shared" ref="H156:H160" si="1326">SUM(E156:G156)</f>
        <v>17949.55504</v>
      </c>
      <c r="I156" s="16"/>
      <c r="J156" s="153" t="s">
        <v>7</v>
      </c>
      <c r="K156" s="154">
        <f>SUM(K157:K160)</f>
        <v>0</v>
      </c>
      <c r="L156" s="155" t="s">
        <v>7</v>
      </c>
      <c r="M156" s="153" t="s">
        <v>7</v>
      </c>
      <c r="N156" s="154">
        <f>SUM(N157:N160)</f>
        <v>212</v>
      </c>
      <c r="O156" s="155" t="s">
        <v>7</v>
      </c>
      <c r="P156" s="153" t="s">
        <v>7</v>
      </c>
      <c r="Q156" s="154">
        <f>SUM(Q157:Q160)</f>
        <v>4539.8</v>
      </c>
      <c r="R156" s="155" t="s">
        <v>7</v>
      </c>
      <c r="S156" s="2"/>
      <c r="T156" s="153" t="s">
        <v>7</v>
      </c>
      <c r="U156" s="154">
        <f>SUM(U157:U160)</f>
        <v>3861.05</v>
      </c>
      <c r="V156" s="155" t="s">
        <v>7</v>
      </c>
      <c r="W156" s="153" t="s">
        <v>7</v>
      </c>
      <c r="X156" s="154">
        <f>SUM(X157:X160)</f>
        <v>5174</v>
      </c>
      <c r="Y156" s="155" t="s">
        <v>7</v>
      </c>
      <c r="Z156" s="153">
        <f t="shared" ref="Z156:AA156" si="1313">SUM(Z157:Z160)</f>
        <v>7406.24</v>
      </c>
      <c r="AA156" s="154">
        <f t="shared" si="1313"/>
        <v>1830.705036</v>
      </c>
      <c r="AB156" s="156">
        <f t="shared" ref="AB156:AB162" si="1327">IFERROR(((AA156-Z156)/Z156),0)</f>
        <v>-0.7528158639</v>
      </c>
      <c r="AC156" s="153">
        <f t="shared" ref="AC156:AD156" si="1314">SUM(AC157:AC160)</f>
        <v>212</v>
      </c>
      <c r="AD156" s="154">
        <f t="shared" si="1314"/>
        <v>212</v>
      </c>
      <c r="AE156" s="156">
        <f t="shared" ref="AE156:AE162" si="1328">IFERROR(((AD156-AC156)/AC156),0)</f>
        <v>0</v>
      </c>
      <c r="AF156" s="153">
        <f t="shared" ref="AF156:AG156" si="1315">SUM(AF157:AF160)</f>
        <v>212</v>
      </c>
      <c r="AG156" s="154">
        <f t="shared" si="1315"/>
        <v>212</v>
      </c>
      <c r="AH156" s="156">
        <f t="shared" ref="AH156:AH162" si="1329">IFERROR(((AG156-AF156)/AF156),0)</f>
        <v>0</v>
      </c>
      <c r="AI156" s="153">
        <f t="shared" ref="AI156:AJ156" si="1316">SUM(AI157:AI160)</f>
        <v>212</v>
      </c>
      <c r="AJ156" s="154">
        <f t="shared" si="1316"/>
        <v>212</v>
      </c>
      <c r="AK156" s="156">
        <f t="shared" ref="AK156:AK162" si="1330">IFERROR(((AJ156-AI156)/AI156),0)</f>
        <v>0</v>
      </c>
      <c r="AL156" s="153">
        <f t="shared" ref="AL156:AM156" si="1317">SUM(AL157:AL160)</f>
        <v>212</v>
      </c>
      <c r="AM156" s="154">
        <f t="shared" si="1317"/>
        <v>212</v>
      </c>
      <c r="AN156" s="156">
        <f t="shared" ref="AN156:AN162" si="1331">IFERROR(((AM156-AL156)/AL156),0)</f>
        <v>0</v>
      </c>
      <c r="AO156" s="153">
        <f t="shared" ref="AO156:AP156" si="1318">SUM(AO157:AO160)</f>
        <v>212</v>
      </c>
      <c r="AP156" s="154">
        <f t="shared" si="1318"/>
        <v>212</v>
      </c>
      <c r="AQ156" s="156">
        <f t="shared" ref="AQ156:AQ162" si="1332">IFERROR(((AP156-AO156)/AO156),0)</f>
        <v>0</v>
      </c>
      <c r="AR156" s="153">
        <f t="shared" ref="AR156:AS156" si="1319">SUM(AR157:AR160)</f>
        <v>212</v>
      </c>
      <c r="AS156" s="154">
        <f t="shared" si="1319"/>
        <v>212</v>
      </c>
      <c r="AT156" s="156">
        <f t="shared" ref="AT156:AT162" si="1333">IFERROR(((AS156-AR156)/AR156),0)</f>
        <v>0</v>
      </c>
      <c r="AU156" s="153">
        <f t="shared" ref="AU156:AV156" si="1320">SUM(AU157:AU160)</f>
        <v>212</v>
      </c>
      <c r="AV156" s="154">
        <f t="shared" si="1320"/>
        <v>212</v>
      </c>
      <c r="AW156" s="156">
        <f t="shared" ref="AW156:AW162" si="1334">IFERROR(((AV156-AU156)/AU156),0)</f>
        <v>0</v>
      </c>
      <c r="AX156" s="153">
        <f t="shared" ref="AX156:AY156" si="1321">SUM(AX157:AX160)</f>
        <v>212</v>
      </c>
      <c r="AY156" s="154">
        <f t="shared" si="1321"/>
        <v>212</v>
      </c>
      <c r="AZ156" s="156">
        <f t="shared" ref="AZ156:AZ162" si="1335">IFERROR(((AY156-AX156)/AX156),0)</f>
        <v>0</v>
      </c>
      <c r="BA156" s="153">
        <f t="shared" ref="BA156:BB156" si="1322">SUM(BA157:BA160)</f>
        <v>212</v>
      </c>
      <c r="BB156" s="154">
        <f t="shared" si="1322"/>
        <v>212</v>
      </c>
      <c r="BC156" s="156">
        <f t="shared" ref="BC156:BC162" si="1336">IFERROR(((BB156-BA156)/BA156),0)</f>
        <v>0</v>
      </c>
      <c r="BD156" s="16"/>
      <c r="BE156" s="153">
        <f t="shared" ref="BE156:BF156" si="1323">SUM(BE157:BE160)</f>
        <v>212</v>
      </c>
      <c r="BF156" s="154">
        <f t="shared" si="1323"/>
        <v>212</v>
      </c>
      <c r="BG156" s="156">
        <f t="shared" ref="BG156:BG160" si="1337">IFERROR(((BF156-BE156)/BE156),0)</f>
        <v>0</v>
      </c>
      <c r="BH156" s="153">
        <f t="shared" ref="BH156:BI156" si="1324">SUM(BH157:BH160)</f>
        <v>212</v>
      </c>
      <c r="BI156" s="154">
        <f t="shared" si="1324"/>
        <v>212</v>
      </c>
      <c r="BJ156" s="156">
        <f t="shared" ref="BJ156:BJ160" si="1338">IFERROR(((BI156-BH156)/BH156),0)</f>
        <v>0</v>
      </c>
      <c r="BK156" s="153">
        <f t="shared" ref="BK156:BL156" si="1325">SUM(BK157:BK160)</f>
        <v>0</v>
      </c>
      <c r="BL156" s="154">
        <f t="shared" si="1325"/>
        <v>0</v>
      </c>
      <c r="BM156" s="156">
        <f t="shared" ref="BM156:BM160" si="1339">IFERROR(((BL156-BK156)/BK156),0)</f>
        <v>0</v>
      </c>
    </row>
    <row r="157" ht="15.75" customHeight="1" outlineLevel="1">
      <c r="A157" s="69"/>
      <c r="B157" s="129" t="s">
        <v>66</v>
      </c>
      <c r="C157" s="71" t="s">
        <v>6</v>
      </c>
      <c r="D157" s="69"/>
      <c r="E157" s="72">
        <f t="shared" ref="E157:E160" si="1340">K157+N157+Q157</f>
        <v>424</v>
      </c>
      <c r="F157" s="73">
        <f t="shared" ref="F157:F160" si="1341">U157+X157+AA157+AD157+AG157+AJ157+AM157+AP157+AS157+AV157+AY157+BB157</f>
        <v>2544</v>
      </c>
      <c r="G157" s="73">
        <f t="shared" ref="G157:G160" si="1342">BF157+BI157+BL157</f>
        <v>424</v>
      </c>
      <c r="H157" s="74">
        <f t="shared" si="1326"/>
        <v>3392</v>
      </c>
      <c r="I157" s="16"/>
      <c r="J157" s="72" t="s">
        <v>7</v>
      </c>
      <c r="K157" s="73"/>
      <c r="L157" s="74" t="s">
        <v>7</v>
      </c>
      <c r="M157" s="72" t="s">
        <v>7</v>
      </c>
      <c r="N157" s="73">
        <v>212.0</v>
      </c>
      <c r="O157" s="74" t="s">
        <v>7</v>
      </c>
      <c r="P157" s="72" t="s">
        <v>7</v>
      </c>
      <c r="Q157" s="73">
        <v>212.0</v>
      </c>
      <c r="R157" s="74" t="s">
        <v>7</v>
      </c>
      <c r="S157" s="69"/>
      <c r="T157" s="72" t="s">
        <v>7</v>
      </c>
      <c r="U157" s="73">
        <v>212.0</v>
      </c>
      <c r="V157" s="74" t="s">
        <v>7</v>
      </c>
      <c r="W157" s="72" t="s">
        <v>7</v>
      </c>
      <c r="X157" s="73">
        <v>212.0</v>
      </c>
      <c r="Y157" s="74" t="s">
        <v>7</v>
      </c>
      <c r="Z157" s="72">
        <v>212.0</v>
      </c>
      <c r="AA157" s="73">
        <v>212.0</v>
      </c>
      <c r="AB157" s="76">
        <f t="shared" si="1327"/>
        <v>0</v>
      </c>
      <c r="AC157" s="72">
        <v>212.0</v>
      </c>
      <c r="AD157" s="73">
        <v>212.0</v>
      </c>
      <c r="AE157" s="76">
        <f t="shared" si="1328"/>
        <v>0</v>
      </c>
      <c r="AF157" s="72">
        <v>212.0</v>
      </c>
      <c r="AG157" s="73">
        <v>212.0</v>
      </c>
      <c r="AH157" s="76">
        <f t="shared" si="1329"/>
        <v>0</v>
      </c>
      <c r="AI157" s="72">
        <v>212.0</v>
      </c>
      <c r="AJ157" s="73">
        <v>212.0</v>
      </c>
      <c r="AK157" s="76">
        <f t="shared" si="1330"/>
        <v>0</v>
      </c>
      <c r="AL157" s="72">
        <v>212.0</v>
      </c>
      <c r="AM157" s="73">
        <v>212.0</v>
      </c>
      <c r="AN157" s="76">
        <f t="shared" si="1331"/>
        <v>0</v>
      </c>
      <c r="AO157" s="72">
        <v>212.0</v>
      </c>
      <c r="AP157" s="73">
        <v>212.0</v>
      </c>
      <c r="AQ157" s="76">
        <f t="shared" si="1332"/>
        <v>0</v>
      </c>
      <c r="AR157" s="72">
        <v>212.0</v>
      </c>
      <c r="AS157" s="73">
        <v>212.0</v>
      </c>
      <c r="AT157" s="76">
        <f t="shared" si="1333"/>
        <v>0</v>
      </c>
      <c r="AU157" s="72">
        <v>212.0</v>
      </c>
      <c r="AV157" s="73">
        <v>212.0</v>
      </c>
      <c r="AW157" s="76">
        <f t="shared" si="1334"/>
        <v>0</v>
      </c>
      <c r="AX157" s="72">
        <v>212.0</v>
      </c>
      <c r="AY157" s="73">
        <v>212.0</v>
      </c>
      <c r="AZ157" s="76">
        <f t="shared" si="1335"/>
        <v>0</v>
      </c>
      <c r="BA157" s="72">
        <v>212.0</v>
      </c>
      <c r="BB157" s="73">
        <v>212.0</v>
      </c>
      <c r="BC157" s="76">
        <f t="shared" si="1336"/>
        <v>0</v>
      </c>
      <c r="BD157" s="16"/>
      <c r="BE157" s="72">
        <v>212.0</v>
      </c>
      <c r="BF157" s="73">
        <v>212.0</v>
      </c>
      <c r="BG157" s="76">
        <f t="shared" si="1337"/>
        <v>0</v>
      </c>
      <c r="BH157" s="72">
        <v>212.0</v>
      </c>
      <c r="BI157" s="73">
        <v>212.0</v>
      </c>
      <c r="BJ157" s="76">
        <f t="shared" si="1338"/>
        <v>0</v>
      </c>
      <c r="BK157" s="72"/>
      <c r="BL157" s="73"/>
      <c r="BM157" s="76">
        <f t="shared" si="1339"/>
        <v>0</v>
      </c>
    </row>
    <row r="158" ht="15.75" customHeight="1" outlineLevel="1">
      <c r="A158" s="69"/>
      <c r="B158" s="129" t="s">
        <v>67</v>
      </c>
      <c r="C158" s="71" t="s">
        <v>6</v>
      </c>
      <c r="D158" s="69"/>
      <c r="E158" s="72">
        <f t="shared" si="1340"/>
        <v>4327.8</v>
      </c>
      <c r="F158" s="73">
        <f t="shared" si="1341"/>
        <v>8611.05</v>
      </c>
      <c r="G158" s="73">
        <f t="shared" si="1342"/>
        <v>0</v>
      </c>
      <c r="H158" s="74">
        <f t="shared" si="1326"/>
        <v>12938.85</v>
      </c>
      <c r="I158" s="16"/>
      <c r="J158" s="72" t="s">
        <v>7</v>
      </c>
      <c r="K158" s="73"/>
      <c r="L158" s="74" t="s">
        <v>7</v>
      </c>
      <c r="M158" s="72" t="s">
        <v>7</v>
      </c>
      <c r="N158" s="73"/>
      <c r="O158" s="74" t="s">
        <v>7</v>
      </c>
      <c r="P158" s="72" t="s">
        <v>7</v>
      </c>
      <c r="Q158" s="73">
        <v>4327.8</v>
      </c>
      <c r="R158" s="74" t="s">
        <v>7</v>
      </c>
      <c r="S158" s="69"/>
      <c r="T158" s="72" t="s">
        <v>7</v>
      </c>
      <c r="U158" s="73">
        <v>3649.05</v>
      </c>
      <c r="V158" s="74" t="s">
        <v>7</v>
      </c>
      <c r="W158" s="72" t="s">
        <v>7</v>
      </c>
      <c r="X158" s="73">
        <v>4962.0</v>
      </c>
      <c r="Y158" s="74" t="s">
        <v>7</v>
      </c>
      <c r="Z158" s="72"/>
      <c r="AA158" s="73"/>
      <c r="AB158" s="76">
        <f t="shared" si="1327"/>
        <v>0</v>
      </c>
      <c r="AC158" s="72"/>
      <c r="AD158" s="73"/>
      <c r="AE158" s="76">
        <f t="shared" si="1328"/>
        <v>0</v>
      </c>
      <c r="AF158" s="72"/>
      <c r="AG158" s="73"/>
      <c r="AH158" s="76">
        <f t="shared" si="1329"/>
        <v>0</v>
      </c>
      <c r="AI158" s="72"/>
      <c r="AJ158" s="73"/>
      <c r="AK158" s="76">
        <f t="shared" si="1330"/>
        <v>0</v>
      </c>
      <c r="AL158" s="72"/>
      <c r="AM158" s="73"/>
      <c r="AN158" s="76">
        <f t="shared" si="1331"/>
        <v>0</v>
      </c>
      <c r="AO158" s="72"/>
      <c r="AP158" s="73"/>
      <c r="AQ158" s="76">
        <f t="shared" si="1332"/>
        <v>0</v>
      </c>
      <c r="AR158" s="72"/>
      <c r="AS158" s="73"/>
      <c r="AT158" s="76">
        <f t="shared" si="1333"/>
        <v>0</v>
      </c>
      <c r="AU158" s="72"/>
      <c r="AV158" s="73"/>
      <c r="AW158" s="76">
        <f t="shared" si="1334"/>
        <v>0</v>
      </c>
      <c r="AX158" s="72"/>
      <c r="AY158" s="73"/>
      <c r="AZ158" s="76">
        <f t="shared" si="1335"/>
        <v>0</v>
      </c>
      <c r="BA158" s="72"/>
      <c r="BB158" s="73"/>
      <c r="BC158" s="76">
        <f t="shared" si="1336"/>
        <v>0</v>
      </c>
      <c r="BD158" s="16"/>
      <c r="BE158" s="72"/>
      <c r="BF158" s="73"/>
      <c r="BG158" s="76">
        <f t="shared" si="1337"/>
        <v>0</v>
      </c>
      <c r="BH158" s="72"/>
      <c r="BI158" s="73"/>
      <c r="BJ158" s="76">
        <f t="shared" si="1338"/>
        <v>0</v>
      </c>
      <c r="BK158" s="72"/>
      <c r="BL158" s="73"/>
      <c r="BM158" s="76">
        <f t="shared" si="1339"/>
        <v>0</v>
      </c>
    </row>
    <row r="159" ht="15.75" customHeight="1" outlineLevel="1">
      <c r="A159" s="69"/>
      <c r="B159" s="160" t="s">
        <v>68</v>
      </c>
      <c r="C159" s="71" t="s">
        <v>6</v>
      </c>
      <c r="D159" s="69"/>
      <c r="E159" s="72">
        <f t="shared" si="1340"/>
        <v>0</v>
      </c>
      <c r="F159" s="73">
        <f t="shared" si="1341"/>
        <v>1618.705036</v>
      </c>
      <c r="G159" s="73">
        <f t="shared" si="1342"/>
        <v>0</v>
      </c>
      <c r="H159" s="74">
        <f t="shared" si="1326"/>
        <v>1618.705036</v>
      </c>
      <c r="I159" s="16"/>
      <c r="J159" s="72" t="s">
        <v>7</v>
      </c>
      <c r="K159" s="73"/>
      <c r="L159" s="74" t="s">
        <v>7</v>
      </c>
      <c r="M159" s="72" t="s">
        <v>7</v>
      </c>
      <c r="N159" s="73"/>
      <c r="O159" s="74" t="s">
        <v>7</v>
      </c>
      <c r="P159" s="72" t="s">
        <v>7</v>
      </c>
      <c r="Q159" s="73"/>
      <c r="R159" s="74" t="s">
        <v>7</v>
      </c>
      <c r="S159" s="69"/>
      <c r="T159" s="72" t="s">
        <v>7</v>
      </c>
      <c r="U159" s="73"/>
      <c r="V159" s="74" t="s">
        <v>7</v>
      </c>
      <c r="W159" s="72" t="s">
        <v>7</v>
      </c>
      <c r="X159" s="73"/>
      <c r="Y159" s="74" t="s">
        <v>7</v>
      </c>
      <c r="Z159" s="72">
        <v>7194.24</v>
      </c>
      <c r="AA159" s="73">
        <f>9000/C163</f>
        <v>1618.705036</v>
      </c>
      <c r="AB159" s="76">
        <f t="shared" si="1327"/>
        <v>-0.774999856</v>
      </c>
      <c r="AC159" s="72"/>
      <c r="AD159" s="73"/>
      <c r="AE159" s="76">
        <f t="shared" si="1328"/>
        <v>0</v>
      </c>
      <c r="AF159" s="72"/>
      <c r="AG159" s="73"/>
      <c r="AH159" s="76">
        <f t="shared" si="1329"/>
        <v>0</v>
      </c>
      <c r="AI159" s="72"/>
      <c r="AJ159" s="73"/>
      <c r="AK159" s="76">
        <f t="shared" si="1330"/>
        <v>0</v>
      </c>
      <c r="AL159" s="72"/>
      <c r="AM159" s="73"/>
      <c r="AN159" s="76">
        <f t="shared" si="1331"/>
        <v>0</v>
      </c>
      <c r="AO159" s="72"/>
      <c r="AP159" s="73"/>
      <c r="AQ159" s="76">
        <f t="shared" si="1332"/>
        <v>0</v>
      </c>
      <c r="AR159" s="72"/>
      <c r="AS159" s="73"/>
      <c r="AT159" s="76">
        <f t="shared" si="1333"/>
        <v>0</v>
      </c>
      <c r="AU159" s="72"/>
      <c r="AV159" s="73"/>
      <c r="AW159" s="76">
        <f t="shared" si="1334"/>
        <v>0</v>
      </c>
      <c r="AX159" s="72"/>
      <c r="AY159" s="73"/>
      <c r="AZ159" s="76">
        <f t="shared" si="1335"/>
        <v>0</v>
      </c>
      <c r="BA159" s="72"/>
      <c r="BB159" s="73"/>
      <c r="BC159" s="76">
        <f t="shared" si="1336"/>
        <v>0</v>
      </c>
      <c r="BD159" s="16"/>
      <c r="BE159" s="72"/>
      <c r="BF159" s="73"/>
      <c r="BG159" s="76">
        <f t="shared" si="1337"/>
        <v>0</v>
      </c>
      <c r="BH159" s="72"/>
      <c r="BI159" s="73"/>
      <c r="BJ159" s="76">
        <f t="shared" si="1338"/>
        <v>0</v>
      </c>
      <c r="BK159" s="72"/>
      <c r="BL159" s="73"/>
      <c r="BM159" s="76">
        <f t="shared" si="1339"/>
        <v>0</v>
      </c>
    </row>
    <row r="160" ht="15.75" customHeight="1" outlineLevel="1">
      <c r="A160" s="69"/>
      <c r="B160" s="99"/>
      <c r="C160" s="161" t="s">
        <v>6</v>
      </c>
      <c r="D160" s="69"/>
      <c r="E160" s="130">
        <f t="shared" si="1340"/>
        <v>0</v>
      </c>
      <c r="F160" s="131">
        <f t="shared" si="1341"/>
        <v>0</v>
      </c>
      <c r="G160" s="131">
        <f t="shared" si="1342"/>
        <v>0</v>
      </c>
      <c r="H160" s="162">
        <f t="shared" si="1326"/>
        <v>0</v>
      </c>
      <c r="I160" s="16"/>
      <c r="J160" s="130" t="s">
        <v>7</v>
      </c>
      <c r="K160" s="131"/>
      <c r="L160" s="162" t="s">
        <v>7</v>
      </c>
      <c r="M160" s="130" t="s">
        <v>7</v>
      </c>
      <c r="N160" s="131"/>
      <c r="O160" s="162" t="s">
        <v>7</v>
      </c>
      <c r="P160" s="130" t="s">
        <v>7</v>
      </c>
      <c r="Q160" s="131"/>
      <c r="R160" s="162" t="s">
        <v>7</v>
      </c>
      <c r="S160" s="69"/>
      <c r="T160" s="130" t="s">
        <v>7</v>
      </c>
      <c r="U160" s="131"/>
      <c r="V160" s="162" t="s">
        <v>7</v>
      </c>
      <c r="W160" s="130" t="s">
        <v>7</v>
      </c>
      <c r="X160" s="131"/>
      <c r="Y160" s="162" t="s">
        <v>7</v>
      </c>
      <c r="Z160" s="130"/>
      <c r="AA160" s="131"/>
      <c r="AB160" s="163">
        <f t="shared" si="1327"/>
        <v>0</v>
      </c>
      <c r="AC160" s="130"/>
      <c r="AD160" s="131"/>
      <c r="AE160" s="163">
        <f t="shared" si="1328"/>
        <v>0</v>
      </c>
      <c r="AF160" s="130"/>
      <c r="AG160" s="131"/>
      <c r="AH160" s="163">
        <f t="shared" si="1329"/>
        <v>0</v>
      </c>
      <c r="AI160" s="130"/>
      <c r="AJ160" s="131"/>
      <c r="AK160" s="163">
        <f t="shared" si="1330"/>
        <v>0</v>
      </c>
      <c r="AL160" s="130"/>
      <c r="AM160" s="131"/>
      <c r="AN160" s="163">
        <f t="shared" si="1331"/>
        <v>0</v>
      </c>
      <c r="AO160" s="130"/>
      <c r="AP160" s="131"/>
      <c r="AQ160" s="163">
        <f t="shared" si="1332"/>
        <v>0</v>
      </c>
      <c r="AR160" s="130"/>
      <c r="AS160" s="131"/>
      <c r="AT160" s="163">
        <f t="shared" si="1333"/>
        <v>0</v>
      </c>
      <c r="AU160" s="130"/>
      <c r="AV160" s="131"/>
      <c r="AW160" s="163">
        <f t="shared" si="1334"/>
        <v>0</v>
      </c>
      <c r="AX160" s="130"/>
      <c r="AY160" s="131"/>
      <c r="AZ160" s="163">
        <f t="shared" si="1335"/>
        <v>0</v>
      </c>
      <c r="BA160" s="130"/>
      <c r="BB160" s="131"/>
      <c r="BC160" s="163">
        <f t="shared" si="1336"/>
        <v>0</v>
      </c>
      <c r="BD160" s="16"/>
      <c r="BE160" s="130"/>
      <c r="BF160" s="131"/>
      <c r="BG160" s="163">
        <f t="shared" si="1337"/>
        <v>0</v>
      </c>
      <c r="BH160" s="130"/>
      <c r="BI160" s="131"/>
      <c r="BJ160" s="163">
        <f t="shared" si="1338"/>
        <v>0</v>
      </c>
      <c r="BK160" s="130"/>
      <c r="BL160" s="131"/>
      <c r="BM160" s="163">
        <f t="shared" si="1339"/>
        <v>0</v>
      </c>
    </row>
    <row r="161" ht="15.0" customHeight="1">
      <c r="A161" s="164"/>
      <c r="B161" s="165" t="s">
        <v>69</v>
      </c>
      <c r="C161" s="166" t="s">
        <v>8</v>
      </c>
      <c r="D161" s="164"/>
      <c r="E161" s="167"/>
      <c r="F161" s="168"/>
      <c r="G161" s="168"/>
      <c r="H161" s="169"/>
      <c r="I161" s="170"/>
      <c r="J161" s="167"/>
      <c r="K161" s="168"/>
      <c r="L161" s="169"/>
      <c r="M161" s="167"/>
      <c r="N161" s="168"/>
      <c r="O161" s="169"/>
      <c r="P161" s="167"/>
      <c r="Q161" s="168"/>
      <c r="R161" s="169"/>
      <c r="S161" s="171"/>
      <c r="T161" s="167"/>
      <c r="U161" s="168"/>
      <c r="V161" s="169"/>
      <c r="W161" s="167"/>
      <c r="X161" s="172">
        <v>520.0</v>
      </c>
      <c r="Y161" s="169"/>
      <c r="Z161" s="173">
        <f>SUM(Z10,Z73,Z94,Z121)*30%</f>
        <v>2196.6</v>
      </c>
      <c r="AA161" s="173">
        <v>648.0</v>
      </c>
      <c r="AB161" s="174">
        <f t="shared" si="1327"/>
        <v>-0.7049986343</v>
      </c>
      <c r="AC161" s="173">
        <f t="shared" ref="AC161:AD161" si="1343">SUM(AC10,AC73,AC94,AC121)*30%</f>
        <v>2805.225277</v>
      </c>
      <c r="AD161" s="173">
        <f t="shared" si="1343"/>
        <v>2703.2575</v>
      </c>
      <c r="AE161" s="174">
        <f t="shared" si="1328"/>
        <v>-0.03634922935</v>
      </c>
      <c r="AF161" s="173">
        <f t="shared" ref="AF161:AG161" si="1344">SUM(AF10,AF73,AF94,AF121)*30%</f>
        <v>3169.425757</v>
      </c>
      <c r="AG161" s="173">
        <f t="shared" si="1344"/>
        <v>3169.425757</v>
      </c>
      <c r="AH161" s="174">
        <f t="shared" si="1329"/>
        <v>0</v>
      </c>
      <c r="AI161" s="173">
        <f t="shared" ref="AI161:AJ161" si="1345">SUM(AI10,AI73,AI94,AI121)*35%</f>
        <v>3710.650977</v>
      </c>
      <c r="AJ161" s="173">
        <f t="shared" si="1345"/>
        <v>3710.650977</v>
      </c>
      <c r="AK161" s="174">
        <f t="shared" si="1330"/>
        <v>0</v>
      </c>
      <c r="AL161" s="173">
        <f t="shared" ref="AL161:AM161" si="1346">SUM(AL10,AL73,AL94,AL121)*35%</f>
        <v>3879.350977</v>
      </c>
      <c r="AM161" s="173">
        <f t="shared" si="1346"/>
        <v>3879.350977</v>
      </c>
      <c r="AN161" s="174">
        <f t="shared" si="1331"/>
        <v>0</v>
      </c>
      <c r="AO161" s="173">
        <f t="shared" ref="AO161:AP161" si="1347">SUM(AO10,AO73,AO94,AO121)*35%</f>
        <v>3620.700977</v>
      </c>
      <c r="AP161" s="173">
        <f t="shared" si="1347"/>
        <v>3620.700977</v>
      </c>
      <c r="AQ161" s="174">
        <f t="shared" si="1332"/>
        <v>0</v>
      </c>
      <c r="AR161" s="173">
        <f t="shared" ref="AR161:AS161" si="1348">SUM(AR10,AR73,AR94,AR121)*35%</f>
        <v>3404.050977</v>
      </c>
      <c r="AS161" s="173">
        <f t="shared" si="1348"/>
        <v>3404.050977</v>
      </c>
      <c r="AT161" s="174">
        <f t="shared" si="1333"/>
        <v>0</v>
      </c>
      <c r="AU161" s="173">
        <f t="shared" ref="AU161:AV161" si="1349">SUM(AU10,AU73,AU94,AU121)*35%</f>
        <v>3444.300977</v>
      </c>
      <c r="AV161" s="173">
        <f t="shared" si="1349"/>
        <v>3444.300977</v>
      </c>
      <c r="AW161" s="174">
        <f t="shared" si="1334"/>
        <v>0</v>
      </c>
      <c r="AX161" s="173">
        <f t="shared" ref="AX161:AY161" si="1350">SUM(AX10,AX73,AX94,AX121)*35%</f>
        <v>3306.400977</v>
      </c>
      <c r="AY161" s="173">
        <f t="shared" si="1350"/>
        <v>3306.400977</v>
      </c>
      <c r="AZ161" s="174">
        <f t="shared" si="1335"/>
        <v>0</v>
      </c>
      <c r="BA161" s="173">
        <f t="shared" ref="BA161:BB161" si="1351">SUM(BA10,BA73,BA94,BA121)*35%</f>
        <v>2682.700977</v>
      </c>
      <c r="BB161" s="173">
        <f t="shared" si="1351"/>
        <v>2682.700977</v>
      </c>
      <c r="BC161" s="174">
        <f t="shared" si="1336"/>
        <v>0</v>
      </c>
      <c r="BD161" s="170"/>
      <c r="BE161" s="173">
        <f t="shared" ref="BE161:BF161" si="1352">SUM(BE10,BE73,BE94,BE121)*35%</f>
        <v>2172.566667</v>
      </c>
      <c r="BF161" s="173">
        <f t="shared" si="1352"/>
        <v>2172.566667</v>
      </c>
      <c r="BG161" s="175"/>
      <c r="BH161" s="173">
        <f t="shared" ref="BH161:BI161" si="1353">SUM(BH10,BH73,BH94,BH121)*35%</f>
        <v>2214.216667</v>
      </c>
      <c r="BI161" s="173">
        <f t="shared" si="1353"/>
        <v>2214.216667</v>
      </c>
      <c r="BJ161" s="175"/>
      <c r="BK161" s="167"/>
      <c r="BL161" s="168"/>
      <c r="BM161" s="175"/>
    </row>
    <row r="162" ht="15.0" customHeight="1">
      <c r="A162" s="164"/>
      <c r="B162" s="176" t="s">
        <v>70</v>
      </c>
      <c r="C162" s="177" t="s">
        <v>6</v>
      </c>
      <c r="D162" s="164"/>
      <c r="E162" s="178">
        <f>K162+N162+Q162</f>
        <v>0</v>
      </c>
      <c r="F162" s="179">
        <f>U162+X162+AA162+AD162+AG162+AJ162+AM162+AP162+AS162+AV162+AY162+BB162</f>
        <v>621770.2381</v>
      </c>
      <c r="G162" s="179">
        <f>BF162+BI162+BL162</f>
        <v>0</v>
      </c>
      <c r="H162" s="180">
        <f>SUM(E162:G162)</f>
        <v>621770.2381</v>
      </c>
      <c r="I162" s="170"/>
      <c r="J162" s="178" t="s">
        <v>7</v>
      </c>
      <c r="K162" s="179"/>
      <c r="L162" s="180" t="s">
        <v>7</v>
      </c>
      <c r="M162" s="178" t="s">
        <v>7</v>
      </c>
      <c r="N162" s="179"/>
      <c r="O162" s="180" t="s">
        <v>7</v>
      </c>
      <c r="P162" s="178" t="s">
        <v>7</v>
      </c>
      <c r="Q162" s="179"/>
      <c r="R162" s="180" t="s">
        <v>7</v>
      </c>
      <c r="S162" s="164"/>
      <c r="T162" s="178" t="s">
        <v>7</v>
      </c>
      <c r="U162" s="179"/>
      <c r="V162" s="180" t="s">
        <v>7</v>
      </c>
      <c r="W162" s="178" t="s">
        <v>7</v>
      </c>
      <c r="X162" s="179"/>
      <c r="Y162" s="180" t="s">
        <v>7</v>
      </c>
      <c r="Z162" s="181"/>
      <c r="AA162" s="181" t="str">
        <f>Z162</f>
        <v/>
      </c>
      <c r="AB162" s="174">
        <f t="shared" si="1327"/>
        <v>0</v>
      </c>
      <c r="AC162" s="181">
        <f>(82060/9)-(AC146+2103.66)</f>
        <v>5755.124972</v>
      </c>
      <c r="AD162" s="181">
        <f>AC162</f>
        <v>5755.124972</v>
      </c>
      <c r="AE162" s="174">
        <f t="shared" si="1328"/>
        <v>0</v>
      </c>
      <c r="AF162" s="181">
        <f>(82060/9)-1467.73+300000+100000</f>
        <v>407650.0478</v>
      </c>
      <c r="AG162" s="181">
        <f>AF162</f>
        <v>407650.0478</v>
      </c>
      <c r="AH162" s="174">
        <f t="shared" si="1329"/>
        <v>0</v>
      </c>
      <c r="AI162" s="182">
        <v>29766.4379086702</v>
      </c>
      <c r="AJ162" s="181">
        <f>AI162</f>
        <v>29766.43791</v>
      </c>
      <c r="AK162" s="174">
        <f t="shared" si="1330"/>
        <v>0</v>
      </c>
      <c r="AL162" s="182">
        <v>29766.4379086702</v>
      </c>
      <c r="AM162" s="181">
        <f>AL162</f>
        <v>29766.43791</v>
      </c>
      <c r="AN162" s="174">
        <f t="shared" si="1331"/>
        <v>0</v>
      </c>
      <c r="AO162" s="182">
        <v>29766.4379086702</v>
      </c>
      <c r="AP162" s="181">
        <f>AO162</f>
        <v>29766.43791</v>
      </c>
      <c r="AQ162" s="174">
        <f t="shared" si="1332"/>
        <v>0</v>
      </c>
      <c r="AR162" s="182">
        <v>29766.4379086702</v>
      </c>
      <c r="AS162" s="181">
        <f>AR162</f>
        <v>29766.43791</v>
      </c>
      <c r="AT162" s="174">
        <f t="shared" si="1333"/>
        <v>0</v>
      </c>
      <c r="AU162" s="182">
        <v>29766.4379086702</v>
      </c>
      <c r="AV162" s="181">
        <f>AU162</f>
        <v>29766.43791</v>
      </c>
      <c r="AW162" s="174">
        <f t="shared" si="1334"/>
        <v>0</v>
      </c>
      <c r="AX162" s="182">
        <v>29766.4379086702</v>
      </c>
      <c r="AY162" s="181">
        <f>AX162</f>
        <v>29766.43791</v>
      </c>
      <c r="AZ162" s="174">
        <f t="shared" si="1335"/>
        <v>0</v>
      </c>
      <c r="BA162" s="182">
        <v>29766.4379086702</v>
      </c>
      <c r="BB162" s="181">
        <f>BA162</f>
        <v>29766.43791</v>
      </c>
      <c r="BC162" s="174">
        <f t="shared" si="1336"/>
        <v>0</v>
      </c>
      <c r="BD162" s="170"/>
      <c r="BE162" s="178"/>
      <c r="BF162" s="179"/>
      <c r="BG162" s="174">
        <f>IFERROR(((BF162-BE162)/BE162),0)</f>
        <v>0</v>
      </c>
      <c r="BH162" s="178"/>
      <c r="BI162" s="179"/>
      <c r="BJ162" s="174">
        <f>IFERROR(((BI162-BH162)/BH162),0)</f>
        <v>0</v>
      </c>
      <c r="BK162" s="178"/>
      <c r="BL162" s="179"/>
      <c r="BM162" s="174">
        <f>IFERROR(((BL162-BK162)/BK162),0)</f>
        <v>0</v>
      </c>
    </row>
    <row r="163" ht="15.75" customHeight="1">
      <c r="A163" s="2"/>
      <c r="B163" s="183" t="s">
        <v>71</v>
      </c>
      <c r="C163" s="184">
        <v>5.56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33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</row>
    <row r="164" ht="15.75" customHeight="1">
      <c r="A164" s="2"/>
      <c r="B164" s="2"/>
      <c r="C164" s="3"/>
      <c r="D164" s="2"/>
      <c r="E164" s="2"/>
      <c r="F164" s="2"/>
      <c r="G164" s="2"/>
      <c r="H164" s="3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</row>
    <row r="165" ht="15.75" customHeight="1">
      <c r="A165" s="2"/>
      <c r="B165" s="2"/>
      <c r="C165" s="3"/>
      <c r="D165" s="2"/>
      <c r="E165" s="2"/>
      <c r="F165" s="2"/>
      <c r="G165" s="2"/>
      <c r="H165" s="18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185"/>
      <c r="Y165" s="2"/>
      <c r="Z165" s="2"/>
      <c r="AA165" s="2"/>
      <c r="AB165" s="33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</row>
    <row r="166" ht="15.75" customHeight="1">
      <c r="A166" s="2"/>
      <c r="B166" s="2"/>
      <c r="C166" s="3"/>
      <c r="D166" s="2"/>
      <c r="E166" s="2"/>
      <c r="F166" s="2"/>
      <c r="G166" s="2"/>
      <c r="H166" s="3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</row>
    <row r="167" ht="15.75" customHeight="1">
      <c r="A167" s="2"/>
      <c r="B167" s="186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3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</row>
    <row r="168" ht="15.75" customHeight="1">
      <c r="A168" s="2"/>
      <c r="B168" s="186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</row>
    <row r="169" ht="15.75" customHeight="1">
      <c r="A169" s="2"/>
      <c r="B169" s="186"/>
      <c r="C169" s="3"/>
      <c r="D169" s="2"/>
      <c r="E169" s="2"/>
      <c r="F169" s="2"/>
      <c r="G169" s="2"/>
      <c r="H169" s="3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</row>
    <row r="170" ht="15.75" customHeight="1">
      <c r="A170" s="2"/>
      <c r="B170" s="186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</row>
    <row r="172" ht="15.75" customHeight="1">
      <c r="A172" s="2"/>
      <c r="B172" s="186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</row>
    <row r="1001" ht="15.75" customHeight="1">
      <c r="A1001" s="2"/>
      <c r="B1001" s="2"/>
      <c r="C1001" s="3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</row>
    <row r="1002" ht="15.75" customHeight="1">
      <c r="A1002" s="2"/>
      <c r="B1002" s="2"/>
      <c r="C1002" s="3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</row>
    <row r="1003" ht="15.75" customHeight="1">
      <c r="A1003" s="2"/>
      <c r="B1003" s="2"/>
      <c r="C1003" s="3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</row>
    <row r="1004" ht="15.75" customHeight="1">
      <c r="A1004" s="2"/>
      <c r="B1004" s="2"/>
      <c r="C1004" s="3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</row>
    <row r="1005" ht="15.75" customHeight="1">
      <c r="A1005" s="2"/>
      <c r="B1005" s="2"/>
      <c r="C1005" s="3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</row>
    <row r="1006" ht="15.75" customHeight="1">
      <c r="A1006" s="2"/>
      <c r="B1006" s="2"/>
      <c r="C1006" s="3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</row>
    <row r="1007" ht="15.75" customHeight="1">
      <c r="A1007" s="2"/>
      <c r="B1007" s="2"/>
      <c r="C1007" s="3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</row>
    <row r="1008" ht="15.75" customHeight="1">
      <c r="A1008" s="2"/>
      <c r="B1008" s="2"/>
      <c r="C1008" s="3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</row>
    <row r="1009" ht="15.75" customHeight="1">
      <c r="A1009" s="2"/>
      <c r="B1009" s="2"/>
      <c r="C1009" s="3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</row>
    <row r="1010" ht="15.75" customHeight="1">
      <c r="A1010" s="2"/>
      <c r="B1010" s="2"/>
      <c r="C1010" s="3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</row>
    <row r="1011" ht="15.75" customHeight="1">
      <c r="A1011" s="2"/>
      <c r="B1011" s="2"/>
      <c r="C1011" s="3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</row>
    <row r="1012" ht="15.75" customHeight="1">
      <c r="A1012" s="2"/>
      <c r="B1012" s="2"/>
      <c r="C1012" s="3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</row>
    <row r="1013" ht="15.75" customHeight="1">
      <c r="A1013" s="2"/>
      <c r="B1013" s="2"/>
      <c r="C1013" s="3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</row>
    <row r="1014" ht="15.75" customHeight="1">
      <c r="A1014" s="2"/>
      <c r="B1014" s="2"/>
      <c r="C1014" s="3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</row>
    <row r="1015" ht="15.75" customHeight="1">
      <c r="A1015" s="2"/>
      <c r="B1015" s="2"/>
      <c r="C1015" s="3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</row>
    <row r="1016" ht="15.75" customHeight="1">
      <c r="A1016" s="2"/>
      <c r="B1016" s="2"/>
      <c r="C1016" s="3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</row>
    <row r="1017" ht="15.75" customHeight="1">
      <c r="A1017" s="2"/>
      <c r="B1017" s="2"/>
      <c r="C1017" s="3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</row>
    <row r="1018" ht="15.75" customHeight="1">
      <c r="A1018" s="2"/>
      <c r="B1018" s="2"/>
      <c r="C1018" s="3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</row>
    <row r="1019" ht="15.75" customHeight="1">
      <c r="A1019" s="2"/>
      <c r="B1019" s="2"/>
      <c r="C1019" s="3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</row>
    <row r="1020" ht="15.75" customHeight="1">
      <c r="A1020" s="2"/>
      <c r="B1020" s="2"/>
      <c r="C1020" s="3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</row>
    <row r="1021" ht="15.75" customHeight="1">
      <c r="A1021" s="2"/>
      <c r="B1021" s="2"/>
      <c r="C1021" s="3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</row>
    <row r="1022" ht="15.75" customHeight="1">
      <c r="A1022" s="2"/>
      <c r="B1022" s="2"/>
      <c r="C1022" s="3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</row>
    <row r="1023" ht="15.75" customHeight="1">
      <c r="A1023" s="2"/>
      <c r="B1023" s="2"/>
      <c r="C1023" s="3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</row>
    <row r="1024" ht="15.75" customHeight="1">
      <c r="A1024" s="2"/>
      <c r="B1024" s="2"/>
      <c r="C1024" s="3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</row>
    <row r="1025" ht="15.75" customHeight="1">
      <c r="A1025" s="2"/>
      <c r="B1025" s="2"/>
      <c r="C1025" s="3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</row>
    <row r="1026" ht="15.75" customHeight="1">
      <c r="A1026" s="2"/>
      <c r="B1026" s="2"/>
      <c r="C1026" s="3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</row>
    <row r="1027" ht="15.75" customHeight="1">
      <c r="A1027" s="2"/>
      <c r="B1027" s="2"/>
      <c r="C1027" s="3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</row>
    <row r="1028" ht="15.75" customHeight="1">
      <c r="A1028" s="2"/>
      <c r="B1028" s="2"/>
      <c r="C1028" s="3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</row>
    <row r="1029" ht="15.75" customHeight="1">
      <c r="A1029" s="2"/>
      <c r="B1029" s="2"/>
      <c r="C1029" s="3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</row>
    <row r="1030" ht="15.75" customHeight="1">
      <c r="A1030" s="2"/>
      <c r="B1030" s="2"/>
      <c r="C1030" s="3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</row>
    <row r="1031" ht="15.75" customHeight="1">
      <c r="A1031" s="2"/>
      <c r="B1031" s="2"/>
      <c r="C1031" s="3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</row>
    <row r="1032" ht="15.75" customHeight="1">
      <c r="A1032" s="2"/>
      <c r="B1032" s="2"/>
      <c r="C1032" s="3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</row>
    <row r="1033" ht="15.75" customHeight="1">
      <c r="A1033" s="2"/>
      <c r="B1033" s="2"/>
      <c r="C1033" s="3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</row>
    <row r="1034" ht="15.75" customHeight="1">
      <c r="A1034" s="2"/>
      <c r="B1034" s="2"/>
      <c r="C1034" s="3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</row>
    <row r="1035" ht="15.75" customHeight="1">
      <c r="A1035" s="2"/>
      <c r="B1035" s="2"/>
      <c r="C1035" s="3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</row>
    <row r="1036" ht="15.75" customHeight="1">
      <c r="A1036" s="2"/>
      <c r="B1036" s="2"/>
      <c r="C1036" s="3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</row>
    <row r="1037" ht="15.75" customHeight="1">
      <c r="A1037" s="2"/>
      <c r="B1037" s="2"/>
      <c r="C1037" s="3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</row>
    <row r="1038" ht="15.75" customHeight="1">
      <c r="A1038" s="2"/>
      <c r="B1038" s="2"/>
      <c r="C1038" s="3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</row>
    <row r="1039" ht="15.75" customHeight="1">
      <c r="A1039" s="2"/>
      <c r="B1039" s="2"/>
      <c r="C1039" s="3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</row>
    <row r="1040" ht="15.75" customHeight="1">
      <c r="A1040" s="2"/>
      <c r="B1040" s="2"/>
      <c r="C1040" s="3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</row>
    <row r="1041" ht="15.75" customHeight="1">
      <c r="A1041" s="2"/>
      <c r="B1041" s="2"/>
      <c r="C1041" s="3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</row>
    <row r="1042" ht="15.75" customHeight="1">
      <c r="A1042" s="2"/>
      <c r="B1042" s="2"/>
      <c r="C1042" s="3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</row>
    <row r="1043" ht="15.75" customHeight="1">
      <c r="A1043" s="2"/>
      <c r="B1043" s="2"/>
      <c r="C1043" s="3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</row>
    <row r="1044" ht="15.75" customHeight="1">
      <c r="A1044" s="2"/>
      <c r="B1044" s="2"/>
      <c r="C1044" s="3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</row>
    <row r="1045" ht="15.75" customHeight="1">
      <c r="A1045" s="2"/>
      <c r="B1045" s="2"/>
      <c r="C1045" s="3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</row>
    <row r="1046" ht="15.75" customHeight="1">
      <c r="A1046" s="2"/>
      <c r="B1046" s="2"/>
      <c r="C1046" s="3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</row>
    <row r="1047" ht="15.75" customHeight="1">
      <c r="A1047" s="2"/>
      <c r="B1047" s="2"/>
      <c r="C1047" s="3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</row>
  </sheetData>
  <mergeCells count="67">
    <mergeCell ref="B66:B68"/>
    <mergeCell ref="B69:B71"/>
    <mergeCell ref="A72:A74"/>
    <mergeCell ref="B72:B74"/>
    <mergeCell ref="B75:B77"/>
    <mergeCell ref="B78:B80"/>
    <mergeCell ref="B81:B83"/>
    <mergeCell ref="B84:B86"/>
    <mergeCell ref="B87:B89"/>
    <mergeCell ref="A93:A95"/>
    <mergeCell ref="B93:B95"/>
    <mergeCell ref="B96:B98"/>
    <mergeCell ref="B99:B101"/>
    <mergeCell ref="B102:B104"/>
    <mergeCell ref="B129:B131"/>
    <mergeCell ref="B132:B134"/>
    <mergeCell ref="B135:B137"/>
    <mergeCell ref="B138:B140"/>
    <mergeCell ref="B111:B113"/>
    <mergeCell ref="B114:B116"/>
    <mergeCell ref="B117:B119"/>
    <mergeCell ref="A120:A122"/>
    <mergeCell ref="B120:B122"/>
    <mergeCell ref="B123:B125"/>
    <mergeCell ref="B126:B128"/>
    <mergeCell ref="AX2:AZ2"/>
    <mergeCell ref="BA2:BC2"/>
    <mergeCell ref="BE2:BG2"/>
    <mergeCell ref="BH2:BJ2"/>
    <mergeCell ref="BK2:BM2"/>
    <mergeCell ref="AC2:AE2"/>
    <mergeCell ref="AF2:AH2"/>
    <mergeCell ref="AI2:AK2"/>
    <mergeCell ref="AL2:AN2"/>
    <mergeCell ref="AO2:AQ2"/>
    <mergeCell ref="AR2:AT2"/>
    <mergeCell ref="AU2:AW2"/>
    <mergeCell ref="E2:H2"/>
    <mergeCell ref="J2:L2"/>
    <mergeCell ref="M2:O2"/>
    <mergeCell ref="P2:R2"/>
    <mergeCell ref="T2:V2"/>
    <mergeCell ref="W2:Y2"/>
    <mergeCell ref="Z2:AB2"/>
    <mergeCell ref="B5:B7"/>
    <mergeCell ref="A9:A11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105:B107"/>
    <mergeCell ref="B108:B110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3.78"/>
    <col customWidth="1" min="3" max="3" width="26.78"/>
    <col customWidth="1" min="4" max="4" width="13.11"/>
    <col customWidth="1" min="5" max="5" width="15.11"/>
    <col customWidth="1" min="6" max="6" width="11.78"/>
    <col customWidth="1" min="7" max="7" width="48.11"/>
    <col customWidth="1" min="8" max="26" width="10.44"/>
  </cols>
  <sheetData>
    <row r="1" ht="19.5" customHeight="1"/>
    <row r="2" ht="19.5" customHeight="1"/>
    <row r="3" ht="19.5" customHeight="1">
      <c r="B3" s="187" t="s">
        <v>72</v>
      </c>
      <c r="C3" s="187" t="s">
        <v>73</v>
      </c>
      <c r="D3" s="187" t="s">
        <v>74</v>
      </c>
      <c r="E3" s="187" t="s">
        <v>75</v>
      </c>
      <c r="F3" s="187" t="s">
        <v>76</v>
      </c>
      <c r="G3" s="187" t="s">
        <v>77</v>
      </c>
    </row>
    <row r="4" ht="19.5" customHeight="1">
      <c r="B4" s="188">
        <v>1.0</v>
      </c>
      <c r="C4" s="188" t="s">
        <v>78</v>
      </c>
      <c r="D4" s="189">
        <f t="shared" ref="D4:D8" si="1">SUM(E4:F4)</f>
        <v>540723</v>
      </c>
      <c r="E4" s="189">
        <v>314070.0</v>
      </c>
      <c r="F4" s="189">
        <v>226653.0</v>
      </c>
      <c r="G4" s="188" t="s">
        <v>79</v>
      </c>
    </row>
    <row r="5" ht="19.5" customHeight="1">
      <c r="B5" s="188">
        <v>2.0</v>
      </c>
      <c r="C5" s="188" t="s">
        <v>35</v>
      </c>
      <c r="D5" s="189">
        <f t="shared" si="1"/>
        <v>650576</v>
      </c>
      <c r="E5" s="189">
        <v>134892.0</v>
      </c>
      <c r="F5" s="189">
        <v>515684.0</v>
      </c>
      <c r="G5" s="188" t="s">
        <v>79</v>
      </c>
    </row>
    <row r="6" ht="19.5" customHeight="1">
      <c r="B6" s="188">
        <v>3.0</v>
      </c>
      <c r="C6" s="188" t="s">
        <v>32</v>
      </c>
      <c r="D6" s="189">
        <f t="shared" si="1"/>
        <v>629496</v>
      </c>
      <c r="E6" s="189">
        <v>279776.0</v>
      </c>
      <c r="F6" s="189">
        <v>349720.0</v>
      </c>
      <c r="G6" s="188" t="s">
        <v>79</v>
      </c>
    </row>
    <row r="7" ht="19.5" customHeight="1">
      <c r="B7" s="188">
        <v>4.0</v>
      </c>
      <c r="C7" s="188" t="s">
        <v>80</v>
      </c>
      <c r="D7" s="189">
        <f t="shared" si="1"/>
        <v>352349</v>
      </c>
      <c r="E7" s="189">
        <v>71558.0</v>
      </c>
      <c r="F7" s="189">
        <v>280791.0</v>
      </c>
      <c r="G7" s="188" t="s">
        <v>81</v>
      </c>
    </row>
    <row r="8" ht="19.5" customHeight="1">
      <c r="B8" s="188">
        <v>5.0</v>
      </c>
      <c r="C8" s="188" t="s">
        <v>82</v>
      </c>
      <c r="D8" s="189">
        <f t="shared" si="1"/>
        <v>914499</v>
      </c>
      <c r="E8" s="189">
        <v>0.0</v>
      </c>
      <c r="F8" s="189">
        <v>914499.0</v>
      </c>
      <c r="G8" s="188" t="s">
        <v>83</v>
      </c>
    </row>
    <row r="9" ht="19.5" customHeight="1">
      <c r="B9" s="188">
        <v>6.0</v>
      </c>
      <c r="C9" s="190" t="s">
        <v>84</v>
      </c>
      <c r="D9" s="191">
        <v>1000000.0</v>
      </c>
      <c r="E9" s="189">
        <v>0.0</v>
      </c>
      <c r="F9" s="189" t="s">
        <v>85</v>
      </c>
      <c r="G9" s="188" t="s">
        <v>86</v>
      </c>
    </row>
    <row r="10" ht="19.5" customHeight="1">
      <c r="B10" s="188">
        <v>7.0</v>
      </c>
      <c r="C10" s="190" t="s">
        <v>87</v>
      </c>
      <c r="D10" s="191">
        <v>982000.0</v>
      </c>
      <c r="E10" s="189">
        <v>100000.0</v>
      </c>
      <c r="F10" s="189" t="s">
        <v>85</v>
      </c>
      <c r="G10" s="188" t="s">
        <v>88</v>
      </c>
    </row>
    <row r="11" ht="19.5" customHeight="1">
      <c r="B11" s="188">
        <v>8.0</v>
      </c>
      <c r="C11" s="188" t="s">
        <v>89</v>
      </c>
      <c r="D11" s="189">
        <f t="shared" ref="D11:D19" si="2">SUM(E11:F11)</f>
        <v>750000</v>
      </c>
      <c r="E11" s="189">
        <v>0.0</v>
      </c>
      <c r="F11" s="189">
        <v>750000.0</v>
      </c>
      <c r="G11" s="188" t="s">
        <v>90</v>
      </c>
    </row>
    <row r="12" ht="19.5" customHeight="1">
      <c r="B12" s="188">
        <v>9.0</v>
      </c>
      <c r="C12" s="188" t="s">
        <v>91</v>
      </c>
      <c r="D12" s="189">
        <f t="shared" si="2"/>
        <v>900000</v>
      </c>
      <c r="E12" s="189">
        <v>0.0</v>
      </c>
      <c r="F12" s="189">
        <v>900000.0</v>
      </c>
      <c r="G12" s="188" t="s">
        <v>90</v>
      </c>
    </row>
    <row r="13" ht="19.5" customHeight="1">
      <c r="B13" s="188">
        <v>10.0</v>
      </c>
      <c r="C13" s="188" t="s">
        <v>11</v>
      </c>
      <c r="D13" s="189">
        <f t="shared" si="2"/>
        <v>1500000</v>
      </c>
      <c r="E13" s="189"/>
      <c r="F13" s="189">
        <v>1500000.0</v>
      </c>
      <c r="G13" s="188" t="s">
        <v>81</v>
      </c>
    </row>
    <row r="14" ht="19.5" customHeight="1">
      <c r="B14" s="188">
        <v>11.0</v>
      </c>
      <c r="C14" s="188" t="s">
        <v>92</v>
      </c>
      <c r="D14" s="189">
        <f t="shared" si="2"/>
        <v>571928</v>
      </c>
      <c r="E14" s="189">
        <v>71928.0</v>
      </c>
      <c r="F14" s="189">
        <v>500000.0</v>
      </c>
      <c r="G14" s="188" t="s">
        <v>81</v>
      </c>
    </row>
    <row r="15" ht="19.5" customHeight="1">
      <c r="B15" s="188">
        <v>12.0</v>
      </c>
      <c r="C15" s="188" t="s">
        <v>16</v>
      </c>
      <c r="D15" s="189">
        <f t="shared" si="2"/>
        <v>1698430</v>
      </c>
      <c r="E15" s="189">
        <v>306114.0</v>
      </c>
      <c r="F15" s="189">
        <v>1392316.0</v>
      </c>
      <c r="G15" s="188" t="s">
        <v>81</v>
      </c>
    </row>
    <row r="16" ht="19.5" customHeight="1">
      <c r="B16" s="188">
        <v>13.0</v>
      </c>
      <c r="C16" s="188" t="s">
        <v>56</v>
      </c>
      <c r="D16" s="189">
        <f t="shared" si="2"/>
        <v>54471</v>
      </c>
      <c r="E16" s="189">
        <v>848.0</v>
      </c>
      <c r="F16" s="189">
        <v>53623.0</v>
      </c>
      <c r="G16" s="188" t="s">
        <v>81</v>
      </c>
    </row>
    <row r="17" ht="19.5" customHeight="1">
      <c r="B17" s="188">
        <v>14.0</v>
      </c>
      <c r="C17" s="188" t="s">
        <v>93</v>
      </c>
      <c r="D17" s="189">
        <f t="shared" si="2"/>
        <v>686300</v>
      </c>
      <c r="E17" s="189">
        <f>116167+20133</f>
        <v>136300</v>
      </c>
      <c r="F17" s="189">
        <v>550000.0</v>
      </c>
      <c r="G17" s="188" t="s">
        <v>81</v>
      </c>
    </row>
    <row r="18" ht="19.5" customHeight="1">
      <c r="B18" s="188" t="s">
        <v>94</v>
      </c>
      <c r="C18" s="188"/>
      <c r="D18" s="189">
        <f t="shared" si="2"/>
        <v>1124011</v>
      </c>
      <c r="E18" s="189">
        <v>124011.0</v>
      </c>
      <c r="F18" s="189">
        <v>1000000.0</v>
      </c>
      <c r="G18" s="188" t="s">
        <v>81</v>
      </c>
    </row>
    <row r="19" ht="19.5" customHeight="1">
      <c r="B19" s="188"/>
      <c r="C19" s="187" t="s">
        <v>2</v>
      </c>
      <c r="D19" s="192">
        <f t="shared" si="2"/>
        <v>10472783</v>
      </c>
      <c r="E19" s="189">
        <f t="shared" ref="E19:F19" si="3">SUM(E4:E18)</f>
        <v>1539497</v>
      </c>
      <c r="F19" s="189">
        <f t="shared" si="3"/>
        <v>8933286</v>
      </c>
      <c r="G19" s="188"/>
    </row>
    <row r="20" ht="19.5" customHeight="1"/>
    <row r="21" ht="19.5" customHeight="1">
      <c r="E21" s="193"/>
    </row>
    <row r="22" ht="19.5" customHeight="1">
      <c r="D22" s="193"/>
    </row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87401575" footer="0.0" header="0.0" left="0.511811024" right="0.511811024" top="0.787401575"/>
  <pageSetup paperSize="9" orientation="portrait"/>
  <drawing r:id="rId1"/>
</worksheet>
</file>