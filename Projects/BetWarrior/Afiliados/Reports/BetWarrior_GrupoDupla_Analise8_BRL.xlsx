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 Bruta" sheetId="2" state="visible" r:id="rId4"/>
    <sheet name="Sub-afiliados" sheetId="3" state="visible" r:id="rId5"/>
    <sheet name="Landing Pages" sheetId="4" state="visible" r:id="rId6"/>
  </sheets>
  <definedNames>
    <definedName function="false" hidden="false" localSheetId="1" name="_xlnm.Print_Titles" vbProcedure="false">'Base Bruta'!$4:$4</definedName>
    <definedName function="false" hidden="false" localSheetId="3" name="_xlnm.Print_Titles" vbProcedure="false">'Landing Pages'!$4:$4</definedName>
    <definedName function="false" hidden="false" localSheetId="2" name="_xlnm.Print_Titles" vbProcedure="false">'Sub-afiliados'!$4:$4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Mantido da analise anterior (nao foi passado novo cambio). Ajustar se necessario.</t>
        </r>
      </text>
    </comment>
    <comment ref="B6" authorId="0">
      <text>
        <r>
          <rPr>
            <sz val="10"/>
            <rFont val="Arial"/>
            <family val="2"/>
          </rPr>
          <t xml:space="preserve">Conforme Deal da planilha MyAffiliates.</t>
        </r>
      </text>
    </comment>
    <comment ref="B7" authorId="0">
      <text>
        <r>
          <rPr>
            <sz val="10"/>
            <rFont val="Arial"/>
            <family val="2"/>
          </rPr>
          <t xml:space="preserve">Conforme Deal da planilha MyAffiliates.</t>
        </r>
      </text>
    </comment>
  </commentList>
</comments>
</file>

<file path=xl/sharedStrings.xml><?xml version="1.0" encoding="utf-8"?>
<sst xmlns="http://schemas.openxmlformats.org/spreadsheetml/2006/main" count="964" uniqueCount="201">
  <si>
    <t xml:space="preserve">BetWarrior — Grupo Dupla (Affiliate ID 1476) — Performance Consolidada (R$)</t>
  </si>
  <si>
    <t xml:space="preserve">Consolidacao de sub-afiliados, funil por landing page e estrutura de custo (CPA + RevShare). Valores apenas em Reais.</t>
  </si>
  <si>
    <t xml:space="preserve">Premissas</t>
  </si>
  <si>
    <t xml:space="preserve">Cambio USD/BRL</t>
  </si>
  <si>
    <t xml:space="preserve">CPA unitario (R$)</t>
  </si>
  <si>
    <t xml:space="preserve">RevShare % (sobre Calculated NGR)</t>
  </si>
  <si>
    <t xml:space="preserve">Calculated NGR segue POSITIVO ha 4 atualizacoes seguidas (piso em zero nao esta sendo acionado). Volume de clicks e QFTD em crescimento continuo desde a primeira analise deste afiliado.</t>
  </si>
  <si>
    <t xml:space="preserve">Estrutura de Custo x Receita (Total do Afiliado)</t>
  </si>
  <si>
    <t xml:space="preserve">CPA Total (R$)  =  QFTD total x CPA unitario</t>
  </si>
  <si>
    <t xml:space="preserve">Custo Total (R$)</t>
  </si>
  <si>
    <t xml:space="preserve">Calculated NGR total do periodo (R$)  =  soma da coluna Calculated NGR</t>
  </si>
  <si>
    <t xml:space="preserve">Net Revenue (R$)</t>
  </si>
  <si>
    <t xml:space="preserve">RevShare (R$)  =  MAX(0; Calculated NGR x 30%)</t>
  </si>
  <si>
    <t xml:space="preserve">Custo Total da Operacao (R$)  =  CPA + RevShare</t>
  </si>
  <si>
    <t xml:space="preserve">Net Revenue do Relatorio (R$)</t>
  </si>
  <si>
    <t xml:space="preserve">% que o Net Revenue ja paga da operacao</t>
  </si>
  <si>
    <t xml:space="preserve">KPIs Gerais</t>
  </si>
  <si>
    <t xml:space="preserve">Clicks</t>
  </si>
  <si>
    <t xml:space="preserve">Signups</t>
  </si>
  <si>
    <t xml:space="preserve">FTD (qtd)</t>
  </si>
  <si>
    <t xml:space="preserve">QFTD</t>
  </si>
  <si>
    <t xml:space="preserve">Conversao Total (Clique -&gt; FTD)</t>
  </si>
  <si>
    <t xml:space="preserve">Conversao QFTD (Clique -&gt; QFTD)</t>
  </si>
  <si>
    <t xml:space="preserve">Turnover Total (R$)</t>
  </si>
  <si>
    <t xml:space="preserve">Turnover Ratio Geral (Turnover/Deposito)</t>
  </si>
  <si>
    <t xml:space="preserve">Cross-sell % Geral (Casino / Turnover Total)</t>
  </si>
  <si>
    <t xml:space="preserve">Graficos</t>
  </si>
  <si>
    <t xml:space="preserve">Base Bruta — Dados originais do MyAffiliates (Grupo Dupla / Affiliate ID 1476)</t>
  </si>
  <si>
    <t xml:space="preserve">Mantida em US$ (moeda original do export) para auditoria. As demais abas desta versao mostram apenas R$.</t>
  </si>
  <si>
    <t xml:space="preserve">Nome da Campanha</t>
  </si>
  <si>
    <t xml:space="preserve">Sub-afiliado (Grupo)</t>
  </si>
  <si>
    <t xml:space="preserve">Landing Page</t>
  </si>
  <si>
    <t xml:space="preserve">LP ID</t>
  </si>
  <si>
    <t xml:space="preserve">Deal</t>
  </si>
  <si>
    <t xml:space="preserve">Valor FTD (US$)</t>
  </si>
  <si>
    <t xml:space="preserve">Qtd FTD</t>
  </si>
  <si>
    <t xml:space="preserve">Depositos (US$)</t>
  </si>
  <si>
    <t xml:space="preserve">Saques (US$)</t>
  </si>
  <si>
    <t xml:space="preserve">Turnover Casino (US$)</t>
  </si>
  <si>
    <t xml:space="preserve">Casino Win Amount (US$)</t>
  </si>
  <si>
    <t xml:space="preserve">Turnover Sportsbook (US$)</t>
  </si>
  <si>
    <t xml:space="preserve">Net Revenue (US$)</t>
  </si>
  <si>
    <t xml:space="preserve">Calculated NGR (US$)</t>
  </si>
  <si>
    <t xml:space="preserve">Earnings (Plataforma, US$)</t>
  </si>
  <si>
    <t xml:space="preserve">Incluido na Analise</t>
  </si>
  <si>
    <t xml:space="preserve">Motivo (se excluido)</t>
  </si>
  <si>
    <t xml:space="preserve">0</t>
  </si>
  <si>
    <t xml:space="preserve">-</t>
  </si>
  <si>
    <t xml:space="preserve">R$160 CPA +30% Revenue Share - Dupla</t>
  </si>
  <si>
    <t xml:space="preserve">Não</t>
  </si>
  <si>
    <t xml:space="preserve">Linha agregada de Earnings historico da plataforma, nao vinculada a atividade real (0 clicks). Earnings: $74039.62</t>
  </si>
  <si>
    <t xml:space="preserve">cabreloa</t>
  </si>
  <si>
    <t xml:space="preserve">Cabreloa</t>
  </si>
  <si>
    <t xml:space="preserve">AFF | Dupla Aposta | BR</t>
  </si>
  <si>
    <t xml:space="preserve">311</t>
  </si>
  <si>
    <t xml:space="preserve">Sim</t>
  </si>
  <si>
    <t xml:space="preserve">AFF BetSlip 2 | Dupla Aposta | BR</t>
  </si>
  <si>
    <t xml:space="preserve">316</t>
  </si>
  <si>
    <t xml:space="preserve">cabreloaboasvindas</t>
  </si>
  <si>
    <t xml:space="preserve">carlos ortega arena 01</t>
  </si>
  <si>
    <t xml:space="preserve">Carlos Ortega Arena</t>
  </si>
  <si>
    <t xml:space="preserve">carlos ortega arena 03</t>
  </si>
  <si>
    <t xml:space="preserve">carlos ortega arena 04</t>
  </si>
  <si>
    <t xml:space="preserve">caumostats</t>
  </si>
  <si>
    <t xml:space="preserve">Mateus Caumo</t>
  </si>
  <si>
    <t xml:space="preserve">Comercial01Cabreloa</t>
  </si>
  <si>
    <t xml:space="preserve">Comercial01WelingtondaBet</t>
  </si>
  <si>
    <t xml:space="preserve">Welington da Bet</t>
  </si>
  <si>
    <t xml:space="preserve">Comercial02Cabreloa</t>
  </si>
  <si>
    <t xml:space="preserve">Comercial02WelingtondaBet</t>
  </si>
  <si>
    <t xml:space="preserve">Comercial04Cabreloa</t>
  </si>
  <si>
    <t xml:space="preserve">Comercial04WelingtondaBet</t>
  </si>
  <si>
    <t xml:space="preserve">Comercial05Cabreloa</t>
  </si>
  <si>
    <t xml:space="preserve">dg arena 01</t>
  </si>
  <si>
    <t xml:space="preserve">DG Arena</t>
  </si>
  <si>
    <t xml:space="preserve">dg arena 02</t>
  </si>
  <si>
    <t xml:space="preserve">dg arena 03</t>
  </si>
  <si>
    <t xml:space="preserve">dg arena 04</t>
  </si>
  <si>
    <t xml:space="preserve">doria arena 01</t>
  </si>
  <si>
    <t xml:space="preserve">Doria Arena</t>
  </si>
  <si>
    <t xml:space="preserve">doria arena 02</t>
  </si>
  <si>
    <t xml:space="preserve">doria arena 03</t>
  </si>
  <si>
    <t xml:space="preserve">doria arena 04</t>
  </si>
  <si>
    <t xml:space="preserve">duplaaposta</t>
  </si>
  <si>
    <t xml:space="preserve">Dupla Aposta</t>
  </si>
  <si>
    <t xml:space="preserve">Duplaapostacomercial01</t>
  </si>
  <si>
    <t xml:space="preserve">Duplaapostacomercial02</t>
  </si>
  <si>
    <t xml:space="preserve">Duplaapostacomercial03</t>
  </si>
  <si>
    <t xml:space="preserve">Duplaapostacomercial04</t>
  </si>
  <si>
    <t xml:space="preserve">emilio 1</t>
  </si>
  <si>
    <t xml:space="preserve">Emilio</t>
  </si>
  <si>
    <t xml:space="preserve">igorsa arena 01</t>
  </si>
  <si>
    <t xml:space="preserve">Igorsa Arena</t>
  </si>
  <si>
    <t xml:space="preserve">igorsa arena 02</t>
  </si>
  <si>
    <t xml:space="preserve">igorsa arena 03</t>
  </si>
  <si>
    <t xml:space="preserve">igorsa arena 04</t>
  </si>
  <si>
    <t xml:space="preserve">igorsa arena 05</t>
  </si>
  <si>
    <t xml:space="preserve">lucao nba arena 01</t>
  </si>
  <si>
    <t xml:space="preserve">Lucao NBA Arena</t>
  </si>
  <si>
    <t xml:space="preserve">lucao nba arena 02</t>
  </si>
  <si>
    <t xml:space="preserve">lucao nba arena 03</t>
  </si>
  <si>
    <t xml:space="preserve">lucao nba arena 04</t>
  </si>
  <si>
    <t xml:space="preserve">magreen 01</t>
  </si>
  <si>
    <t xml:space="preserve">Magreen</t>
  </si>
  <si>
    <t xml:space="preserve">mariatips</t>
  </si>
  <si>
    <t xml:space="preserve">Mariatips</t>
  </si>
  <si>
    <t xml:space="preserve">mateuscaumo</t>
  </si>
  <si>
    <t xml:space="preserve">mateuscaumo01</t>
  </si>
  <si>
    <t xml:space="preserve">mateuscaumo02</t>
  </si>
  <si>
    <t xml:space="preserve">mateuscaumo03</t>
  </si>
  <si>
    <t xml:space="preserve">mateuscaumo04</t>
  </si>
  <si>
    <t xml:space="preserve">mateuscaumo06</t>
  </si>
  <si>
    <t xml:space="preserve">mateuscaumo07</t>
  </si>
  <si>
    <t xml:space="preserve">mateuscaumo08</t>
  </si>
  <si>
    <t xml:space="preserve">mateuscaumo09</t>
  </si>
  <si>
    <t xml:space="preserve">mateuscaumo10</t>
  </si>
  <si>
    <t xml:space="preserve">Mateuscaumocomercial01</t>
  </si>
  <si>
    <t xml:space="preserve">Mateuscaumocomercial02</t>
  </si>
  <si>
    <t xml:space="preserve">AFF BetSlip | Dupla Aposta | BR</t>
  </si>
  <si>
    <t xml:space="preserve">313</t>
  </si>
  <si>
    <t xml:space="preserve">Mateuscaumocomercial03</t>
  </si>
  <si>
    <t xml:space="preserve">Mateuscaumocomercial04</t>
  </si>
  <si>
    <t xml:space="preserve">Mateuscaumocomercial05</t>
  </si>
  <si>
    <t xml:space="preserve">Mateuscaumocomercial06</t>
  </si>
  <si>
    <t xml:space="preserve">mateuscaumocs</t>
  </si>
  <si>
    <t xml:space="preserve">AFF | Mail in Box | BR</t>
  </si>
  <si>
    <t xml:space="preserve">312</t>
  </si>
  <si>
    <t xml:space="preserve">Landing page fora do escopo da analise (volume irrelevante)</t>
  </si>
  <si>
    <t xml:space="preserve">mateuscaumoreg</t>
  </si>
  <si>
    <t xml:space="preserve">mateuscaumotips</t>
  </si>
  <si>
    <t xml:space="preserve">menezes</t>
  </si>
  <si>
    <t xml:space="preserve">Menezes</t>
  </si>
  <si>
    <t xml:space="preserve">nathan brenner arena 01</t>
  </si>
  <si>
    <t xml:space="preserve">Nathan Brenner Arena</t>
  </si>
  <si>
    <t xml:space="preserve">nathan brenner arena 02</t>
  </si>
  <si>
    <t xml:space="preserve">nathan brenner arena 03</t>
  </si>
  <si>
    <t xml:space="preserve">nathan brenner arena 04</t>
  </si>
  <si>
    <t xml:space="preserve">nathan brenner arena 05</t>
  </si>
  <si>
    <t xml:space="preserve">neri arena 01</t>
  </si>
  <si>
    <t xml:space="preserve">Neri Arena</t>
  </si>
  <si>
    <t xml:space="preserve">neri arena 02</t>
  </si>
  <si>
    <t xml:space="preserve">neri arena 04</t>
  </si>
  <si>
    <t xml:space="preserve">neri arena 05</t>
  </si>
  <si>
    <t xml:space="preserve">ortega arena 01</t>
  </si>
  <si>
    <t xml:space="preserve">Ortega Arena</t>
  </si>
  <si>
    <t xml:space="preserve">ortega arena 02</t>
  </si>
  <si>
    <t xml:space="preserve">ortega arena 03</t>
  </si>
  <si>
    <t xml:space="preserve">ortega arena 04</t>
  </si>
  <si>
    <t xml:space="preserve">ortega arena 05</t>
  </si>
  <si>
    <t xml:space="preserve">ortega arena6</t>
  </si>
  <si>
    <t xml:space="preserve">ortega arena8</t>
  </si>
  <si>
    <t xml:space="preserve">ortega arena9</t>
  </si>
  <si>
    <t xml:space="preserve">professor da bet 01</t>
  </si>
  <si>
    <t xml:space="preserve">Professor da Bet</t>
  </si>
  <si>
    <t xml:space="preserve">professor da bet 02</t>
  </si>
  <si>
    <t xml:space="preserve">professor da bet 03</t>
  </si>
  <si>
    <t xml:space="preserve">professor da bet 04</t>
  </si>
  <si>
    <t xml:space="preserve">professor da bet 05</t>
  </si>
  <si>
    <t xml:space="preserve">rezino</t>
  </si>
  <si>
    <t xml:space="preserve">Rezino</t>
  </si>
  <si>
    <t xml:space="preserve">telles 06</t>
  </si>
  <si>
    <t xml:space="preserve">Telles</t>
  </si>
  <si>
    <t xml:space="preserve">telles01</t>
  </si>
  <si>
    <t xml:space="preserve">telles04</t>
  </si>
  <si>
    <t xml:space="preserve">testelink</t>
  </si>
  <si>
    <t xml:space="preserve">Link de teste interno, nao e um sub-afiliado real</t>
  </si>
  <si>
    <t xml:space="preserve">Thierry1</t>
  </si>
  <si>
    <t xml:space="preserve">Thierry</t>
  </si>
  <si>
    <t xml:space="preserve">Thierry3</t>
  </si>
  <si>
    <t xml:space="preserve">Thierry4</t>
  </si>
  <si>
    <t xml:space="preserve">welingtondabet</t>
  </si>
  <si>
    <t xml:space="preserve">wellingtondabetboasvindas</t>
  </si>
  <si>
    <t xml:space="preserve">Regra de consolidacao de sub-afiliados (mesma regra validada nas analises anteriores deste afiliado):</t>
  </si>
  <si>
    <t xml:space="preserve">- Nomes de campanha que variam apenas por numero ou pelo prefixo/sufixo 'Comercial' + numero identificam o mesmo sub-afiliado em canais diferentes. Consolidacao independe de maiusculas/minusculas.</t>
  </si>
  <si>
    <t xml:space="preserve">- 'Mateus Caumo' unifica todas as variantes contendo 'mateuscaumo', incluindo sufixos nao numericos (cs, reg, tips) e 'caumostats'.</t>
  </si>
  <si>
    <t xml:space="preserve">- 'Welington da Bet' tambem cobre a grafia com 'll' duplo.</t>
  </si>
  <si>
    <t xml:space="preserve">- 'Dupla Aposta' e 'Welington da Bet' sao sub-afiliados proprios e distintos.</t>
  </si>
  <si>
    <t xml:space="preserve">- 'Carlos Ortega Arena' foi mantido separado de 'Ortega Arena' -- sao pessoas diferentes.</t>
  </si>
  <si>
    <t xml:space="preserve">- Nenhum sub-afiliado novo nesta base -- classificaram nos mesmos 20 grupos ja usados nas analises anteriores.</t>
  </si>
  <si>
    <t xml:space="preserve">- Linha com Campaign Name = '0': removida da analise (Earnings historico agregado da plataforma).</t>
  </si>
  <si>
    <t xml:space="preserve">- 'testelink': removido por ser link de teste interno.</t>
  </si>
  <si>
    <t xml:space="preserve">- Landing page 'AFF | Mail in Box | BR': removida da analise por volume irrelevante.</t>
  </si>
  <si>
    <t xml:space="preserve">Performance Consolidada por Sub-afiliado — Grupo Dupla (valores em R$)</t>
  </si>
  <si>
    <t xml:space="preserve">Versao apenas em Reais. Fonte (Base Bruta) permanece em US$; conversao pelo cambio em Dashboard.</t>
  </si>
  <si>
    <t xml:space="preserve">Sub-afiliado</t>
  </si>
  <si>
    <t xml:space="preserve">Conv. Total
(Clique-&gt;FTD)</t>
  </si>
  <si>
    <t xml:space="preserve">Conv. QFTD
(Clique-&gt;QFTD)</t>
  </si>
  <si>
    <t xml:space="preserve">Valor FTD (R$)</t>
  </si>
  <si>
    <t xml:space="preserve">Deposito Total (R$)</t>
  </si>
  <si>
    <t xml:space="preserve">Ticket Medio FTD (R$)</t>
  </si>
  <si>
    <t xml:space="preserve">Ticket Medio Dep. Total (R$)</t>
  </si>
  <si>
    <t xml:space="preserve">Redeposito (R$)</t>
  </si>
  <si>
    <t xml:space="preserve">Turnover Casino (R$)</t>
  </si>
  <si>
    <t xml:space="preserve">Turnover Sportsbook (R$)</t>
  </si>
  <si>
    <t xml:space="preserve">Turnover Ratio
(Turnover/Deposito)</t>
  </si>
  <si>
    <t xml:space="preserve">Cross-sell %
(Casino/Turnover)</t>
  </si>
  <si>
    <t xml:space="preserve">CPA (R$)</t>
  </si>
  <si>
    <t xml:space="preserve">Calculated NGR (R$)</t>
  </si>
  <si>
    <t xml:space="preserve">TOTAL</t>
  </si>
  <si>
    <t xml:space="preserve">Performance por Landing Page — Funil de Conversao (R$)</t>
  </si>
  <si>
    <t xml:space="preserve">Visao de funil por landing page, valores em Reais. Sem alocacao de custo (CPA/RevShare sao por sub-afiliado, nao por LP).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</si>
</sst>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&quot;R$ &quot;#,##0.00;&quot;(R$ &quot;#,##0.00\);\-"/>
    <numFmt numFmtId="167" formatCode="0%"/>
    <numFmt numFmtId="168" formatCode="0.0%"/>
    <numFmt numFmtId="169" formatCode="#,##0;\(#,##0\);\-"/>
    <numFmt numFmtId="170" formatCode="0.00\x;\(0.00&quot;x)&quot;;\-"/>
    <numFmt numFmtId="171" formatCode="0.00\x"/>
    <numFmt numFmtId="172" formatCode="&quot;US$ &quot;#,##0.00;&quot;(US$ &quot;#,##0.00\);\-"/>
    <numFmt numFmtId="173" formatCode="0.00%;\(0.0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F2F6FC"/>
        <bgColor rgb="FFF7F9FC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2F6FC"/>
      </patternFill>
    </fill>
    <fill>
      <patternFill patternType="solid">
        <fgColor rgb="FFF7F9FC"/>
        <bgColor rgb="FFF9F9F9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9F9F9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7F9F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QFTD por Sub-afiliado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'Sub-afiliados'!E4</c:f>
              <c:strCache>
                <c:ptCount val="1"/>
                <c:pt idx="0">
                  <c:v>QFTD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'Sub-afiliados'!$A$5:$A$24</c:f>
              <c:strCache>
                <c:ptCount val="20"/>
                <c:pt idx="0">
                  <c:v>Cabreloa</c:v>
                </c:pt>
                <c:pt idx="1">
                  <c:v>Carlos Ortega Arena</c:v>
                </c:pt>
                <c:pt idx="2">
                  <c:v>DG Arena</c:v>
                </c:pt>
                <c:pt idx="3">
                  <c:v>Doria Arena</c:v>
                </c:pt>
                <c:pt idx="4">
                  <c:v>Dupla Aposta</c:v>
                </c:pt>
                <c:pt idx="5">
                  <c:v>Emilio</c:v>
                </c:pt>
                <c:pt idx="6">
                  <c:v>Igorsa Arena</c:v>
                </c:pt>
                <c:pt idx="7">
                  <c:v>Lucao NBA Arena</c:v>
                </c:pt>
                <c:pt idx="8">
                  <c:v>Magreen</c:v>
                </c:pt>
                <c:pt idx="9">
                  <c:v>Mariatips</c:v>
                </c:pt>
                <c:pt idx="10">
                  <c:v>Mateus Caumo</c:v>
                </c:pt>
                <c:pt idx="11">
                  <c:v>Menezes</c:v>
                </c:pt>
                <c:pt idx="12">
                  <c:v>Nathan Brenner Arena</c:v>
                </c:pt>
                <c:pt idx="13">
                  <c:v>Neri Arena</c:v>
                </c:pt>
                <c:pt idx="14">
                  <c:v>Ortega Arena</c:v>
                </c:pt>
                <c:pt idx="15">
                  <c:v>Professor da Bet</c:v>
                </c:pt>
                <c:pt idx="16">
                  <c:v>Rezino</c:v>
                </c:pt>
                <c:pt idx="17">
                  <c:v>Telles</c:v>
                </c:pt>
                <c:pt idx="18">
                  <c:v>Thierry</c:v>
                </c:pt>
                <c:pt idx="19">
                  <c:v>Welington da Bet</c:v>
                </c:pt>
              </c:strCache>
            </c:strRef>
          </c:cat>
          <c:val>
            <c:numRef>
              <c:f>'Sub-afiliados'!$E$5:$E$24</c:f>
              <c:numCache>
                <c:formatCode>#,##0;\(#,##0\);\-</c:formatCode>
                <c:ptCount val="20"/>
                <c:pt idx="0">
                  <c:v>48</c:v>
                </c:pt>
                <c:pt idx="1">
                  <c:v>0</c:v>
                </c:pt>
                <c:pt idx="2">
                  <c:v>1</c:v>
                </c:pt>
                <c:pt idx="3">
                  <c:v>12</c:v>
                </c:pt>
                <c:pt idx="4">
                  <c:v>17</c:v>
                </c:pt>
                <c:pt idx="5">
                  <c:v>273</c:v>
                </c:pt>
                <c:pt idx="6">
                  <c:v>130</c:v>
                </c:pt>
                <c:pt idx="7">
                  <c:v>11</c:v>
                </c:pt>
                <c:pt idx="8">
                  <c:v>54</c:v>
                </c:pt>
                <c:pt idx="9">
                  <c:v>0</c:v>
                </c:pt>
                <c:pt idx="10">
                  <c:v>677</c:v>
                </c:pt>
                <c:pt idx="11">
                  <c:v>0</c:v>
                </c:pt>
                <c:pt idx="12">
                  <c:v>23</c:v>
                </c:pt>
                <c:pt idx="13">
                  <c:v>21</c:v>
                </c:pt>
                <c:pt idx="14">
                  <c:v>268</c:v>
                </c:pt>
                <c:pt idx="15">
                  <c:v>114</c:v>
                </c:pt>
                <c:pt idx="16">
                  <c:v>13</c:v>
                </c:pt>
                <c:pt idx="17">
                  <c:v>317</c:v>
                </c:pt>
                <c:pt idx="18">
                  <c:v>295</c:v>
                </c:pt>
                <c:pt idx="19">
                  <c:v>5</c:v>
                </c:pt>
              </c:numCache>
            </c:numRef>
          </c:val>
        </c:ser>
        <c:gapWidth val="150"/>
        <c:overlap val="0"/>
        <c:axId val="14129068"/>
        <c:axId val="55708167"/>
      </c:barChart>
      <c:catAx>
        <c:axId val="141290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08167"/>
        <c:crosses val="autoZero"/>
        <c:auto val="1"/>
        <c:lblAlgn val="ctr"/>
        <c:lblOffset val="100"/>
        <c:noMultiLvlLbl val="0"/>
      </c:catAx>
      <c:valAx>
        <c:axId val="55708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290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Conversao por Landing Page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'Landing Pages'!F4</c:f>
              <c:strCache>
                <c:ptCount val="1"/>
                <c:pt idx="0">
                  <c:v>Conv. Total
(Clique-&gt;FTD)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'Landing Pages'!$A$5:$A$7</c:f>
              <c:strCache>
                <c:ptCount val="3"/>
                <c:pt idx="0">
                  <c:v>AFF BetSlip 2 | Dupla Aposta | BR</c:v>
                </c:pt>
                <c:pt idx="1">
                  <c:v>AFF BetSlip | Dupla Aposta | BR</c:v>
                </c:pt>
                <c:pt idx="2">
                  <c:v>AFF | Dupla Aposta | BR</c:v>
                </c:pt>
              </c:strCache>
            </c:strRef>
          </c:cat>
          <c:val>
            <c:numRef>
              <c:f>'Landing Pages'!$F$5:$F$7</c:f>
              <c:numCache>
                <c:formatCode>0.00%;\(0.00%\);\-</c:formatCode>
                <c:ptCount val="3"/>
                <c:pt idx="0">
                  <c:v>0.0168757830731502</c:v>
                </c:pt>
                <c:pt idx="1">
                  <c:v>0.0769230769230769</c:v>
                </c:pt>
                <c:pt idx="2">
                  <c:v>0.100529100529101</c:v>
                </c:pt>
              </c:numCache>
            </c:numRef>
          </c:val>
        </c:ser>
        <c:ser>
          <c:idx val="1"/>
          <c:order val="1"/>
          <c:tx>
            <c:strRef>
              <c:f>'Landing Pages'!G4</c:f>
              <c:strCache>
                <c:ptCount val="1"/>
                <c:pt idx="0">
                  <c:v>Conv. QFTD
(Clique-&gt;QFTD)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'Landing Pages'!$A$5:$A$7</c:f>
              <c:strCache>
                <c:ptCount val="3"/>
                <c:pt idx="0">
                  <c:v>AFF BetSlip 2 | Dupla Aposta | BR</c:v>
                </c:pt>
                <c:pt idx="1">
                  <c:v>AFF BetSlip | Dupla Aposta | BR</c:v>
                </c:pt>
                <c:pt idx="2">
                  <c:v>AFF | Dupla Aposta | BR</c:v>
                </c:pt>
              </c:strCache>
            </c:strRef>
          </c:cat>
          <c:val>
            <c:numRef>
              <c:f>'Landing Pages'!$G$5:$G$7</c:f>
              <c:numCache>
                <c:formatCode>0.00%;\(0.00%\);\-</c:formatCode>
                <c:ptCount val="3"/>
                <c:pt idx="0">
                  <c:v>0.00757688219610824</c:v>
                </c:pt>
                <c:pt idx="1">
                  <c:v>0.0769230769230769</c:v>
                </c:pt>
                <c:pt idx="2">
                  <c:v>0.0638107987505578</c:v>
                </c:pt>
              </c:numCache>
            </c:numRef>
          </c:val>
        </c:ser>
        <c:gapWidth val="150"/>
        <c:overlap val="0"/>
        <c:axId val="19426056"/>
        <c:axId val="38117930"/>
      </c:barChart>
      <c:catAx>
        <c:axId val="1942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17930"/>
        <c:crosses val="autoZero"/>
        <c:auto val="1"/>
        <c:lblAlgn val="ctr"/>
        <c:lblOffset val="100"/>
        <c:noMultiLvlLbl val="0"/>
      </c:catAx>
      <c:valAx>
        <c:axId val="38117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26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Taxa de Cross-sell (Casino / Turnover) por Sub-afiliado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'Sub-afiliados'!Q4</c:f>
              <c:strCache>
                <c:ptCount val="1"/>
                <c:pt idx="0">
                  <c:v>Cross-sell %
(Casino/Turnover)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'Sub-afiliados'!$A$5:$A$24</c:f>
              <c:strCache>
                <c:ptCount val="20"/>
                <c:pt idx="0">
                  <c:v>Cabreloa</c:v>
                </c:pt>
                <c:pt idx="1">
                  <c:v>Carlos Ortega Arena</c:v>
                </c:pt>
                <c:pt idx="2">
                  <c:v>DG Arena</c:v>
                </c:pt>
                <c:pt idx="3">
                  <c:v>Doria Arena</c:v>
                </c:pt>
                <c:pt idx="4">
                  <c:v>Dupla Aposta</c:v>
                </c:pt>
                <c:pt idx="5">
                  <c:v>Emilio</c:v>
                </c:pt>
                <c:pt idx="6">
                  <c:v>Igorsa Arena</c:v>
                </c:pt>
                <c:pt idx="7">
                  <c:v>Lucao NBA Arena</c:v>
                </c:pt>
                <c:pt idx="8">
                  <c:v>Magreen</c:v>
                </c:pt>
                <c:pt idx="9">
                  <c:v>Mariatips</c:v>
                </c:pt>
                <c:pt idx="10">
                  <c:v>Mateus Caumo</c:v>
                </c:pt>
                <c:pt idx="11">
                  <c:v>Menezes</c:v>
                </c:pt>
                <c:pt idx="12">
                  <c:v>Nathan Brenner Arena</c:v>
                </c:pt>
                <c:pt idx="13">
                  <c:v>Neri Arena</c:v>
                </c:pt>
                <c:pt idx="14">
                  <c:v>Ortega Arena</c:v>
                </c:pt>
                <c:pt idx="15">
                  <c:v>Professor da Bet</c:v>
                </c:pt>
                <c:pt idx="16">
                  <c:v>Rezino</c:v>
                </c:pt>
                <c:pt idx="17">
                  <c:v>Telles</c:v>
                </c:pt>
                <c:pt idx="18">
                  <c:v>Thierry</c:v>
                </c:pt>
                <c:pt idx="19">
                  <c:v>Welington da Bet</c:v>
                </c:pt>
              </c:strCache>
            </c:strRef>
          </c:cat>
          <c:val>
            <c:numRef>
              <c:f>'Sub-afiliados'!$Q$5:$Q$24</c:f>
              <c:numCache>
                <c:formatCode>0.00%;\(0.00%\);\-</c:formatCode>
                <c:ptCount val="20"/>
                <c:pt idx="0">
                  <c:v>0.0744246861924686</c:v>
                </c:pt>
                <c:pt idx="1">
                  <c:v>0</c:v>
                </c:pt>
                <c:pt idx="2">
                  <c:v>0.00332348596750369</c:v>
                </c:pt>
                <c:pt idx="3">
                  <c:v>0.0648769574944072</c:v>
                </c:pt>
                <c:pt idx="4">
                  <c:v>0</c:v>
                </c:pt>
                <c:pt idx="5">
                  <c:v>0.231999297032116</c:v>
                </c:pt>
                <c:pt idx="6">
                  <c:v>0.0981524112162864</c:v>
                </c:pt>
                <c:pt idx="7">
                  <c:v>0.0284969435454872</c:v>
                </c:pt>
                <c:pt idx="8">
                  <c:v>0.0514032796893283</c:v>
                </c:pt>
                <c:pt idx="9">
                  <c:v>0</c:v>
                </c:pt>
                <c:pt idx="10">
                  <c:v>0.116030778574019</c:v>
                </c:pt>
                <c:pt idx="11">
                  <c:v>0</c:v>
                </c:pt>
                <c:pt idx="12">
                  <c:v>0.0739086076357193</c:v>
                </c:pt>
                <c:pt idx="13">
                  <c:v>0.050731628879241</c:v>
                </c:pt>
                <c:pt idx="14">
                  <c:v>0.333434374052743</c:v>
                </c:pt>
                <c:pt idx="15">
                  <c:v>0.092551047284234</c:v>
                </c:pt>
                <c:pt idx="16">
                  <c:v>0.00786237326323695</c:v>
                </c:pt>
                <c:pt idx="17">
                  <c:v>0.326508049597045</c:v>
                </c:pt>
                <c:pt idx="18">
                  <c:v>0.250696061884427</c:v>
                </c:pt>
                <c:pt idx="19">
                  <c:v>0.791746081138901</c:v>
                </c:pt>
              </c:numCache>
            </c:numRef>
          </c:val>
        </c:ser>
        <c:gapWidth val="150"/>
        <c:overlap val="0"/>
        <c:axId val="7447013"/>
        <c:axId val="86922266"/>
      </c:barChart>
      <c:catAx>
        <c:axId val="7447013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22266"/>
        <c:crosses val="autoZero"/>
        <c:auto val="1"/>
        <c:lblAlgn val="ctr"/>
        <c:lblOffset val="100"/>
        <c:noMultiLvlLbl val="0"/>
      </c:catAx>
      <c:valAx>
        <c:axId val="86922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;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70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 da Operacao vs Net Revenue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Dashboard!$F$12:$F$13</c:f>
              <c:strCache>
                <c:ptCount val="2"/>
                <c:pt idx="0">
                  <c:v>Custo Total (R$)</c:v>
                </c:pt>
                <c:pt idx="1">
                  <c:v>Net Revenue (R$)</c:v>
                </c:pt>
              </c:strCache>
            </c:strRef>
          </c:cat>
          <c:val>
            <c:numRef>
              <c:f>Dashboard!$G$12:$G$13</c:f>
              <c:numCache>
                <c:formatCode>"R$ "#,##0.00;"(R$ "#,##0.00\);\-</c:formatCode>
                <c:ptCount val="2"/>
                <c:pt idx="0">
                  <c:v>370364.843</c:v>
                </c:pt>
                <c:pt idx="1">
                  <c:v>79346.1015</c:v>
                </c:pt>
              </c:numCache>
            </c:numRef>
          </c:val>
        </c:ser>
        <c:gapWidth val="150"/>
        <c:overlap val="0"/>
        <c:axId val="519916"/>
        <c:axId val="15267369"/>
      </c:barChart>
      <c:catAx>
        <c:axId val="519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67369"/>
        <c:crosses val="autoZero"/>
        <c:auto val="1"/>
        <c:lblAlgn val="ctr"/>
        <c:lblOffset val="100"/>
        <c:noMultiLvlLbl val="0"/>
      </c:catAx>
      <c:valAx>
        <c:axId val="15267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9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Turnover Ratio (Turnover/Deposito) por Sub-afiliado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'Sub-afiliados'!P4</c:f>
              <c:strCache>
                <c:ptCount val="1"/>
                <c:pt idx="0">
                  <c:v>Turnover Ratio
(Turnover/Deposito)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\x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'Sub-afiliados'!$A$5:$A$24</c:f>
              <c:strCache>
                <c:ptCount val="20"/>
                <c:pt idx="0">
                  <c:v>Cabreloa</c:v>
                </c:pt>
                <c:pt idx="1">
                  <c:v>Carlos Ortega Arena</c:v>
                </c:pt>
                <c:pt idx="2">
                  <c:v>DG Arena</c:v>
                </c:pt>
                <c:pt idx="3">
                  <c:v>Doria Arena</c:v>
                </c:pt>
                <c:pt idx="4">
                  <c:v>Dupla Aposta</c:v>
                </c:pt>
                <c:pt idx="5">
                  <c:v>Emilio</c:v>
                </c:pt>
                <c:pt idx="6">
                  <c:v>Igorsa Arena</c:v>
                </c:pt>
                <c:pt idx="7">
                  <c:v>Lucao NBA Arena</c:v>
                </c:pt>
                <c:pt idx="8">
                  <c:v>Magreen</c:v>
                </c:pt>
                <c:pt idx="9">
                  <c:v>Mariatips</c:v>
                </c:pt>
                <c:pt idx="10">
                  <c:v>Mateus Caumo</c:v>
                </c:pt>
                <c:pt idx="11">
                  <c:v>Menezes</c:v>
                </c:pt>
                <c:pt idx="12">
                  <c:v>Nathan Brenner Arena</c:v>
                </c:pt>
                <c:pt idx="13">
                  <c:v>Neri Arena</c:v>
                </c:pt>
                <c:pt idx="14">
                  <c:v>Ortega Arena</c:v>
                </c:pt>
                <c:pt idx="15">
                  <c:v>Professor da Bet</c:v>
                </c:pt>
                <c:pt idx="16">
                  <c:v>Rezino</c:v>
                </c:pt>
                <c:pt idx="17">
                  <c:v>Telles</c:v>
                </c:pt>
                <c:pt idx="18">
                  <c:v>Thierry</c:v>
                </c:pt>
                <c:pt idx="19">
                  <c:v>Welington da Bet</c:v>
                </c:pt>
              </c:strCache>
            </c:strRef>
          </c:cat>
          <c:val>
            <c:numRef>
              <c:f>'Sub-afiliados'!$P$5:$P$24</c:f>
              <c:numCache>
                <c:formatCode>0.00\x;\(0.00"x)";\-</c:formatCode>
                <c:ptCount val="20"/>
                <c:pt idx="0">
                  <c:v>0.574807094899289</c:v>
                </c:pt>
                <c:pt idx="1">
                  <c:v>0</c:v>
                </c:pt>
                <c:pt idx="2">
                  <c:v>0.997054491899853</c:v>
                </c:pt>
                <c:pt idx="3">
                  <c:v>0.774160027710426</c:v>
                </c:pt>
                <c:pt idx="4">
                  <c:v>1.2927510220361</c:v>
                </c:pt>
                <c:pt idx="5">
                  <c:v>1.2108474127132</c:v>
                </c:pt>
                <c:pt idx="6">
                  <c:v>2.44413885270747</c:v>
                </c:pt>
                <c:pt idx="7">
                  <c:v>1.09126581864556</c:v>
                </c:pt>
                <c:pt idx="8">
                  <c:v>1.36242444966083</c:v>
                </c:pt>
                <c:pt idx="9">
                  <c:v>0</c:v>
                </c:pt>
                <c:pt idx="10">
                  <c:v>1.66967771084209</c:v>
                </c:pt>
                <c:pt idx="11">
                  <c:v>0</c:v>
                </c:pt>
                <c:pt idx="12">
                  <c:v>1.7695743063474</c:v>
                </c:pt>
                <c:pt idx="13">
                  <c:v>0.920992225101814</c:v>
                </c:pt>
                <c:pt idx="14">
                  <c:v>1.48413147492407</c:v>
                </c:pt>
                <c:pt idx="15">
                  <c:v>1.30481845192394</c:v>
                </c:pt>
                <c:pt idx="16">
                  <c:v>1.06188161993769</c:v>
                </c:pt>
                <c:pt idx="17">
                  <c:v>1.69502624717583</c:v>
                </c:pt>
                <c:pt idx="18">
                  <c:v>1.39669372732822</c:v>
                </c:pt>
                <c:pt idx="19">
                  <c:v>2.40653374520266</c:v>
                </c:pt>
              </c:numCache>
            </c:numRef>
          </c:val>
        </c:ser>
        <c:gapWidth val="150"/>
        <c:overlap val="0"/>
        <c:axId val="1076123"/>
        <c:axId val="13659173"/>
      </c:barChart>
      <c:catAx>
        <c:axId val="1076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59173"/>
        <c:crosses val="autoZero"/>
        <c:auto val="1"/>
        <c:lblAlgn val="ctr"/>
        <c:lblOffset val="100"/>
        <c:noMultiLvlLbl val="0"/>
      </c:catAx>
      <c:valAx>
        <c:axId val="13659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;\(0.0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61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Calculated NGR (R$) por Sub-afiliado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'Sub-afiliados'!T4</c:f>
              <c:strCache>
                <c:ptCount val="1"/>
                <c:pt idx="0">
                  <c:v>Calculated NGR (R$)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'Sub-afiliados'!$A$5:$A$24</c:f>
              <c:strCache>
                <c:ptCount val="20"/>
                <c:pt idx="0">
                  <c:v>Cabreloa</c:v>
                </c:pt>
                <c:pt idx="1">
                  <c:v>Carlos Ortega Arena</c:v>
                </c:pt>
                <c:pt idx="2">
                  <c:v>DG Arena</c:v>
                </c:pt>
                <c:pt idx="3">
                  <c:v>Doria Arena</c:v>
                </c:pt>
                <c:pt idx="4">
                  <c:v>Dupla Aposta</c:v>
                </c:pt>
                <c:pt idx="5">
                  <c:v>Emilio</c:v>
                </c:pt>
                <c:pt idx="6">
                  <c:v>Igorsa Arena</c:v>
                </c:pt>
                <c:pt idx="7">
                  <c:v>Lucao NBA Arena</c:v>
                </c:pt>
                <c:pt idx="8">
                  <c:v>Magreen</c:v>
                </c:pt>
                <c:pt idx="9">
                  <c:v>Mariatips</c:v>
                </c:pt>
                <c:pt idx="10">
                  <c:v>Mateus Caumo</c:v>
                </c:pt>
                <c:pt idx="11">
                  <c:v>Menezes</c:v>
                </c:pt>
                <c:pt idx="12">
                  <c:v>Nathan Brenner Arena</c:v>
                </c:pt>
                <c:pt idx="13">
                  <c:v>Neri Arena</c:v>
                </c:pt>
                <c:pt idx="14">
                  <c:v>Ortega Arena</c:v>
                </c:pt>
                <c:pt idx="15">
                  <c:v>Professor da Bet</c:v>
                </c:pt>
                <c:pt idx="16">
                  <c:v>Rezino</c:v>
                </c:pt>
                <c:pt idx="17">
                  <c:v>Telles</c:v>
                </c:pt>
                <c:pt idx="18">
                  <c:v>Thierry</c:v>
                </c:pt>
                <c:pt idx="19">
                  <c:v>Welington da Bet</c:v>
                </c:pt>
              </c:strCache>
            </c:strRef>
          </c:cat>
          <c:val>
            <c:numRef>
              <c:f>'Sub-afiliados'!$T$5:$T$24</c:f>
              <c:numCache>
                <c:formatCode>"R$ "#,##0.00;"(R$ "#,##0.00\);\-</c:formatCode>
                <c:ptCount val="20"/>
                <c:pt idx="0">
                  <c:v>293.9105</c:v>
                </c:pt>
                <c:pt idx="1">
                  <c:v>0</c:v>
                </c:pt>
                <c:pt idx="2">
                  <c:v>73.439</c:v>
                </c:pt>
                <c:pt idx="3">
                  <c:v>120.716</c:v>
                </c:pt>
                <c:pt idx="4">
                  <c:v>-43.981</c:v>
                </c:pt>
                <c:pt idx="5">
                  <c:v>8531.7475</c:v>
                </c:pt>
                <c:pt idx="6">
                  <c:v>7360.998</c:v>
                </c:pt>
                <c:pt idx="7">
                  <c:v>72.0485</c:v>
                </c:pt>
                <c:pt idx="8">
                  <c:v>290.8205</c:v>
                </c:pt>
                <c:pt idx="9">
                  <c:v>0</c:v>
                </c:pt>
                <c:pt idx="10">
                  <c:v>7656.7625</c:v>
                </c:pt>
                <c:pt idx="11">
                  <c:v>0</c:v>
                </c:pt>
                <c:pt idx="12">
                  <c:v>515.8755</c:v>
                </c:pt>
                <c:pt idx="13">
                  <c:v>957.179</c:v>
                </c:pt>
                <c:pt idx="14">
                  <c:v>7941.7635</c:v>
                </c:pt>
                <c:pt idx="15">
                  <c:v>775.487</c:v>
                </c:pt>
                <c:pt idx="16">
                  <c:v>1185.5815</c:v>
                </c:pt>
                <c:pt idx="17">
                  <c:v>-25948.481</c:v>
                </c:pt>
                <c:pt idx="18">
                  <c:v>9143.928</c:v>
                </c:pt>
                <c:pt idx="19">
                  <c:v>155.015</c:v>
                </c:pt>
              </c:numCache>
            </c:numRef>
          </c:val>
        </c:ser>
        <c:gapWidth val="150"/>
        <c:overlap val="0"/>
        <c:axId val="1171549"/>
        <c:axId val="26602882"/>
      </c:barChart>
      <c:catAx>
        <c:axId val="1171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02882"/>
        <c:crosses val="autoZero"/>
        <c:auto val="1"/>
        <c:lblAlgn val="ctr"/>
        <c:lblOffset val="100"/>
        <c:noMultiLvlLbl val="0"/>
      </c:catAx>
      <c:valAx>
        <c:axId val="26602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15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187920</xdr:rowOff>
    </xdr:from>
    <xdr:to>
      <xdr:col>5</xdr:col>
      <xdr:colOff>966600</xdr:colOff>
      <xdr:row>54</xdr:row>
      <xdr:rowOff>47880</xdr:rowOff>
    </xdr:to>
    <xdr:graphicFrame>
      <xdr:nvGraphicFramePr>
        <xdr:cNvPr id="0" name="Chart 1"/>
        <xdr:cNvGraphicFramePr/>
      </xdr:nvGraphicFramePr>
      <xdr:xfrm>
        <a:off x="0" y="613404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29</xdr:row>
      <xdr:rowOff>187920</xdr:rowOff>
    </xdr:from>
    <xdr:to>
      <xdr:col>16</xdr:col>
      <xdr:colOff>332280</xdr:colOff>
      <xdr:row>54</xdr:row>
      <xdr:rowOff>47880</xdr:rowOff>
    </xdr:to>
    <xdr:graphicFrame>
      <xdr:nvGraphicFramePr>
        <xdr:cNvPr id="1" name="Chart 2"/>
        <xdr:cNvGraphicFramePr/>
      </xdr:nvGraphicFramePr>
      <xdr:xfrm>
        <a:off x="8599320" y="613404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55</xdr:row>
      <xdr:rowOff>131040</xdr:rowOff>
    </xdr:from>
    <xdr:to>
      <xdr:col>5</xdr:col>
      <xdr:colOff>966600</xdr:colOff>
      <xdr:row>80</xdr:row>
      <xdr:rowOff>48240</xdr:rowOff>
    </xdr:to>
    <xdr:graphicFrame>
      <xdr:nvGraphicFramePr>
        <xdr:cNvPr id="2" name="Chart 3"/>
        <xdr:cNvGraphicFramePr/>
      </xdr:nvGraphicFramePr>
      <xdr:xfrm>
        <a:off x="0" y="1108728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55</xdr:row>
      <xdr:rowOff>131040</xdr:rowOff>
    </xdr:from>
    <xdr:to>
      <xdr:col>16</xdr:col>
      <xdr:colOff>332280</xdr:colOff>
      <xdr:row>74</xdr:row>
      <xdr:rowOff>111240</xdr:rowOff>
    </xdr:to>
    <xdr:graphicFrame>
      <xdr:nvGraphicFramePr>
        <xdr:cNvPr id="3" name="Chart 4"/>
        <xdr:cNvGraphicFramePr/>
      </xdr:nvGraphicFramePr>
      <xdr:xfrm>
        <a:off x="8599320" y="110872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81</xdr:row>
      <xdr:rowOff>131040</xdr:rowOff>
    </xdr:from>
    <xdr:to>
      <xdr:col>16</xdr:col>
      <xdr:colOff>332280</xdr:colOff>
      <xdr:row>106</xdr:row>
      <xdr:rowOff>47880</xdr:rowOff>
    </xdr:to>
    <xdr:graphicFrame>
      <xdr:nvGraphicFramePr>
        <xdr:cNvPr id="4" name="Chart 5"/>
        <xdr:cNvGraphicFramePr/>
      </xdr:nvGraphicFramePr>
      <xdr:xfrm>
        <a:off x="8599320" y="1604016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81</xdr:row>
      <xdr:rowOff>131040</xdr:rowOff>
    </xdr:from>
    <xdr:to>
      <xdr:col>5</xdr:col>
      <xdr:colOff>966600</xdr:colOff>
      <xdr:row>106</xdr:row>
      <xdr:rowOff>47880</xdr:rowOff>
    </xdr:to>
    <xdr:graphicFrame>
      <xdr:nvGraphicFramePr>
        <xdr:cNvPr id="5" name="Chart 6"/>
        <xdr:cNvGraphicFramePr/>
      </xdr:nvGraphicFramePr>
      <xdr:xfrm>
        <a:off x="0" y="1604016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5" min="3" style="0" width="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17" min="8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n">
        <v>5.15</v>
      </c>
    </row>
    <row r="6" customFormat="false" ht="15" hidden="false" customHeight="false" outlineLevel="0" collapsed="false">
      <c r="A6" s="4" t="s">
        <v>4</v>
      </c>
      <c r="B6" s="6" t="n">
        <v>160</v>
      </c>
    </row>
    <row r="7" customFormat="false" ht="15" hidden="false" customHeight="false" outlineLevel="0" collapsed="false">
      <c r="A7" s="4" t="s">
        <v>5</v>
      </c>
      <c r="B7" s="7" t="n">
        <v>0.3</v>
      </c>
    </row>
    <row r="9" customFormat="false" ht="30" hidden="false" customHeight="true" outlineLevel="0" collapsed="false">
      <c r="A9" s="8" t="s">
        <v>6</v>
      </c>
      <c r="B9" s="8"/>
      <c r="C9" s="8"/>
      <c r="D9" s="8"/>
      <c r="E9" s="8"/>
      <c r="F9" s="8"/>
      <c r="G9" s="8"/>
      <c r="H9" s="8"/>
    </row>
    <row r="11" customFormat="false" ht="19.5" hidden="false" customHeight="true" outlineLevel="0" collapsed="false">
      <c r="A11" s="3" t="s">
        <v>7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4" t="s">
        <v>8</v>
      </c>
      <c r="B12" s="9" t="n">
        <f aca="false">'Sub-afiliados'!$R$25</f>
        <v>364640</v>
      </c>
      <c r="F12" s="10" t="s">
        <v>9</v>
      </c>
      <c r="G12" s="11" t="n">
        <f aca="false">B15</f>
        <v>370364.843</v>
      </c>
    </row>
    <row r="13" customFormat="false" ht="15" hidden="false" customHeight="false" outlineLevel="0" collapsed="false">
      <c r="A13" s="4" t="s">
        <v>10</v>
      </c>
      <c r="B13" s="9" t="n">
        <f aca="false">'Sub-afiliados'!$T$25</f>
        <v>19082.81</v>
      </c>
      <c r="F13" s="10" t="s">
        <v>11</v>
      </c>
      <c r="G13" s="11" t="n">
        <f aca="false">B16</f>
        <v>79346.1015</v>
      </c>
    </row>
    <row r="14" customFormat="false" ht="15" hidden="false" customHeight="false" outlineLevel="0" collapsed="false">
      <c r="A14" s="4" t="s">
        <v>12</v>
      </c>
      <c r="B14" s="9" t="n">
        <f aca="false">MAX(0,B13*$B$7)</f>
        <v>5724.843</v>
      </c>
    </row>
    <row r="15" customFormat="false" ht="15" hidden="false" customHeight="false" outlineLevel="0" collapsed="false">
      <c r="A15" s="12" t="s">
        <v>13</v>
      </c>
      <c r="B15" s="13" t="n">
        <f aca="false">B12+B14</f>
        <v>370364.843</v>
      </c>
    </row>
    <row r="16" customFormat="false" ht="15" hidden="false" customHeight="false" outlineLevel="0" collapsed="false">
      <c r="A16" s="4" t="s">
        <v>14</v>
      </c>
      <c r="B16" s="9" t="n">
        <f aca="false">'Sub-afiliados'!$S$25</f>
        <v>79346.1015</v>
      </c>
    </row>
    <row r="17" customFormat="false" ht="15" hidden="false" customHeight="false" outlineLevel="0" collapsed="false">
      <c r="A17" s="12" t="s">
        <v>15</v>
      </c>
      <c r="B17" s="14" t="n">
        <f aca="false">IFERROR(B16/B15,0)</f>
        <v>0.214237671311583</v>
      </c>
    </row>
    <row r="19" customFormat="false" ht="19.5" hidden="false" customHeight="true" outlineLevel="0" collapsed="false">
      <c r="A19" s="3" t="s">
        <v>16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4" t="s">
        <v>17</v>
      </c>
      <c r="B20" s="15" t="n">
        <f aca="false">'Sub-afiliados'!$B$25</f>
        <v>184120</v>
      </c>
    </row>
    <row r="21" customFormat="false" ht="15" hidden="false" customHeight="false" outlineLevel="0" collapsed="false">
      <c r="A21" s="4" t="s">
        <v>18</v>
      </c>
      <c r="B21" s="15" t="n">
        <f aca="false">'Sub-afiliados'!$C$25</f>
        <v>7488</v>
      </c>
    </row>
    <row r="22" customFormat="false" ht="15" hidden="false" customHeight="false" outlineLevel="0" collapsed="false">
      <c r="A22" s="4" t="s">
        <v>19</v>
      </c>
      <c r="B22" s="15" t="n">
        <f aca="false">'Sub-afiliados'!$D$25</f>
        <v>4421</v>
      </c>
    </row>
    <row r="23" customFormat="false" ht="15" hidden="false" customHeight="false" outlineLevel="0" collapsed="false">
      <c r="A23" s="4" t="s">
        <v>20</v>
      </c>
      <c r="B23" s="15" t="n">
        <f aca="false">'Sub-afiliados'!$E$25</f>
        <v>2279</v>
      </c>
    </row>
    <row r="24" customFormat="false" ht="15" hidden="false" customHeight="false" outlineLevel="0" collapsed="false">
      <c r="A24" s="4" t="s">
        <v>21</v>
      </c>
      <c r="B24" s="14" t="n">
        <f aca="false">'Sub-afiliados'!$F$25</f>
        <v>0.0240115142298501</v>
      </c>
    </row>
    <row r="25" customFormat="false" ht="15" hidden="false" customHeight="false" outlineLevel="0" collapsed="false">
      <c r="A25" s="4" t="s">
        <v>22</v>
      </c>
      <c r="B25" s="14" t="n">
        <f aca="false">'Sub-afiliados'!$G$25</f>
        <v>0.0123777970888551</v>
      </c>
    </row>
    <row r="26" customFormat="false" ht="15" hidden="false" customHeight="false" outlineLevel="0" collapsed="false">
      <c r="A26" s="4" t="s">
        <v>23</v>
      </c>
      <c r="B26" s="13" t="n">
        <f aca="false">'Sub-afiliados'!$O$25</f>
        <v>484861.1185</v>
      </c>
    </row>
    <row r="27" customFormat="false" ht="15" hidden="false" customHeight="false" outlineLevel="0" collapsed="false">
      <c r="A27" s="4" t="s">
        <v>24</v>
      </c>
      <c r="B27" s="16" t="n">
        <f aca="false">'Sub-afiliados'!$P$25</f>
        <v>1.54299964861722</v>
      </c>
    </row>
    <row r="28" customFormat="false" ht="15" hidden="false" customHeight="false" outlineLevel="0" collapsed="false">
      <c r="A28" s="4" t="s">
        <v>25</v>
      </c>
      <c r="B28" s="14" t="n">
        <f aca="false">'Sub-afiliados'!$Q$25</f>
        <v>0.181994394132884</v>
      </c>
    </row>
    <row r="30" customFormat="false" ht="19.5" hidden="false" customHeight="true" outlineLevel="0" collapsed="false">
      <c r="A30" s="3" t="s">
        <v>26</v>
      </c>
      <c r="B30" s="3"/>
      <c r="C30" s="3"/>
      <c r="D30" s="3"/>
      <c r="E30" s="3"/>
      <c r="F30" s="3"/>
    </row>
  </sheetData>
  <mergeCells count="7">
    <mergeCell ref="A1:K1"/>
    <mergeCell ref="A2:K2"/>
    <mergeCell ref="A4:F4"/>
    <mergeCell ref="A9:H9"/>
    <mergeCell ref="A11:F11"/>
    <mergeCell ref="A19:F19"/>
    <mergeCell ref="A30:F3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2" min="10" style="0" width="13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7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0" min="20" style="0" width="45"/>
  </cols>
  <sheetData>
    <row r="1" customFormat="false" ht="19.7" hidden="false" customHeight="false" outlineLevel="0" collapsed="false">
      <c r="A1" s="17" t="s">
        <v>27</v>
      </c>
    </row>
    <row r="2" customFormat="false" ht="15" hidden="false" customHeight="false" outlineLevel="0" collapsed="false">
      <c r="A2" s="18" t="s">
        <v>28</v>
      </c>
    </row>
    <row r="4" customFormat="false" ht="30" hidden="false" customHeight="true" outlineLevel="0" collapsed="false">
      <c r="A4" s="19" t="s">
        <v>29</v>
      </c>
      <c r="B4" s="19" t="s">
        <v>30</v>
      </c>
      <c r="C4" s="19" t="s">
        <v>31</v>
      </c>
      <c r="D4" s="19" t="s">
        <v>32</v>
      </c>
      <c r="E4" s="19" t="s">
        <v>33</v>
      </c>
      <c r="F4" s="19" t="s">
        <v>17</v>
      </c>
      <c r="G4" s="19" t="s">
        <v>18</v>
      </c>
      <c r="H4" s="19" t="s">
        <v>34</v>
      </c>
      <c r="I4" s="19" t="s">
        <v>35</v>
      </c>
      <c r="J4" s="19" t="s">
        <v>36</v>
      </c>
      <c r="K4" s="19" t="s">
        <v>37</v>
      </c>
      <c r="L4" s="19" t="s">
        <v>38</v>
      </c>
      <c r="M4" s="19" t="s">
        <v>39</v>
      </c>
      <c r="N4" s="19" t="s">
        <v>40</v>
      </c>
      <c r="O4" s="19" t="s">
        <v>41</v>
      </c>
      <c r="P4" s="19" t="s">
        <v>42</v>
      </c>
      <c r="Q4" s="19" t="s">
        <v>20</v>
      </c>
      <c r="R4" s="19" t="s">
        <v>43</v>
      </c>
      <c r="S4" s="19" t="s">
        <v>44</v>
      </c>
      <c r="T4" s="19" t="s">
        <v>45</v>
      </c>
    </row>
    <row r="5" customFormat="false" ht="15" hidden="false" customHeight="false" outlineLevel="0" collapsed="false">
      <c r="A5" s="20" t="s">
        <v>46</v>
      </c>
      <c r="B5" s="20"/>
      <c r="C5" s="20" t="s">
        <v>47</v>
      </c>
      <c r="D5" s="20" t="s">
        <v>47</v>
      </c>
      <c r="E5" s="20" t="s">
        <v>48</v>
      </c>
      <c r="F5" s="21" t="n">
        <v>0</v>
      </c>
      <c r="G5" s="21" t="n">
        <v>0</v>
      </c>
      <c r="H5" s="22" t="n">
        <v>0</v>
      </c>
      <c r="I5" s="21" t="n">
        <v>0</v>
      </c>
      <c r="J5" s="22" t="n">
        <v>0</v>
      </c>
      <c r="K5" s="22" t="n">
        <v>0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1" t="n">
        <v>0</v>
      </c>
      <c r="R5" s="22" t="n">
        <v>74039.62</v>
      </c>
      <c r="S5" s="23" t="s">
        <v>49</v>
      </c>
      <c r="T5" s="20" t="s">
        <v>50</v>
      </c>
    </row>
    <row r="6" customFormat="false" ht="15" hidden="false" customHeight="false" outlineLevel="0" collapsed="false">
      <c r="A6" s="24" t="s">
        <v>51</v>
      </c>
      <c r="B6" s="24" t="s">
        <v>52</v>
      </c>
      <c r="C6" s="24" t="s">
        <v>53</v>
      </c>
      <c r="D6" s="24" t="s">
        <v>54</v>
      </c>
      <c r="E6" s="24" t="s">
        <v>48</v>
      </c>
      <c r="F6" s="25" t="n">
        <v>782</v>
      </c>
      <c r="G6" s="25" t="n">
        <v>130</v>
      </c>
      <c r="H6" s="26" t="n">
        <v>614.14</v>
      </c>
      <c r="I6" s="25" t="n">
        <v>73</v>
      </c>
      <c r="J6" s="26" t="n">
        <v>935.99</v>
      </c>
      <c r="K6" s="26" t="n">
        <v>487.3</v>
      </c>
      <c r="L6" s="26" t="n">
        <v>38.81</v>
      </c>
      <c r="M6" s="26" t="n">
        <v>17.79</v>
      </c>
      <c r="N6" s="26" t="n">
        <v>463.33</v>
      </c>
      <c r="O6" s="26" t="n">
        <v>97.36</v>
      </c>
      <c r="P6" s="26" t="n">
        <v>18.52</v>
      </c>
      <c r="Q6" s="25" t="n">
        <v>42</v>
      </c>
      <c r="R6" s="26" t="n">
        <v>0</v>
      </c>
      <c r="S6" s="24" t="s">
        <v>55</v>
      </c>
      <c r="T6" s="24"/>
    </row>
    <row r="7" customFormat="false" ht="15" hidden="false" customHeight="false" outlineLevel="0" collapsed="false">
      <c r="A7" s="27" t="s">
        <v>51</v>
      </c>
      <c r="B7" s="27" t="s">
        <v>52</v>
      </c>
      <c r="C7" s="27" t="s">
        <v>56</v>
      </c>
      <c r="D7" s="27" t="s">
        <v>57</v>
      </c>
      <c r="E7" s="27" t="s">
        <v>48</v>
      </c>
      <c r="F7" s="28" t="n">
        <v>735</v>
      </c>
      <c r="G7" s="28" t="n">
        <v>10</v>
      </c>
      <c r="H7" s="29" t="n">
        <v>20.39</v>
      </c>
      <c r="I7" s="28" t="n">
        <v>7</v>
      </c>
      <c r="J7" s="29" t="n">
        <v>28.14</v>
      </c>
      <c r="K7" s="29" t="n">
        <v>0</v>
      </c>
      <c r="L7" s="29" t="n">
        <v>3.88</v>
      </c>
      <c r="M7" s="29" t="n">
        <v>2.02</v>
      </c>
      <c r="N7" s="29" t="n">
        <v>24.63</v>
      </c>
      <c r="O7" s="29" t="n">
        <v>26.48</v>
      </c>
      <c r="P7" s="29" t="n">
        <v>19.63</v>
      </c>
      <c r="Q7" s="28" t="n">
        <v>1</v>
      </c>
      <c r="R7" s="29" t="n">
        <v>0</v>
      </c>
      <c r="S7" s="27" t="s">
        <v>55</v>
      </c>
      <c r="T7" s="27"/>
    </row>
    <row r="8" customFormat="false" ht="15" hidden="false" customHeight="false" outlineLevel="0" collapsed="false">
      <c r="A8" s="24" t="s">
        <v>58</v>
      </c>
      <c r="B8" s="24" t="s">
        <v>52</v>
      </c>
      <c r="C8" s="24" t="s">
        <v>56</v>
      </c>
      <c r="D8" s="24" t="s">
        <v>57</v>
      </c>
      <c r="E8" s="24" t="s">
        <v>48</v>
      </c>
      <c r="F8" s="25" t="n">
        <v>17</v>
      </c>
      <c r="G8" s="25" t="n">
        <v>0</v>
      </c>
      <c r="H8" s="26" t="n">
        <v>0</v>
      </c>
      <c r="I8" s="25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5" t="n">
        <v>0</v>
      </c>
      <c r="R8" s="26" t="n">
        <v>0</v>
      </c>
      <c r="S8" s="24" t="s">
        <v>55</v>
      </c>
      <c r="T8" s="24"/>
    </row>
    <row r="9" customFormat="false" ht="15" hidden="false" customHeight="false" outlineLevel="0" collapsed="false">
      <c r="A9" s="27" t="s">
        <v>59</v>
      </c>
      <c r="B9" s="27" t="s">
        <v>60</v>
      </c>
      <c r="C9" s="27" t="s">
        <v>53</v>
      </c>
      <c r="D9" s="27" t="s">
        <v>54</v>
      </c>
      <c r="E9" s="27" t="s">
        <v>48</v>
      </c>
      <c r="F9" s="28" t="n">
        <v>1</v>
      </c>
      <c r="G9" s="28" t="n">
        <v>0</v>
      </c>
      <c r="H9" s="29" t="n">
        <v>0</v>
      </c>
      <c r="I9" s="28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8" t="n">
        <v>0</v>
      </c>
      <c r="R9" s="29" t="n">
        <v>0</v>
      </c>
      <c r="S9" s="27" t="s">
        <v>55</v>
      </c>
      <c r="T9" s="27"/>
    </row>
    <row r="10" customFormat="false" ht="15" hidden="false" customHeight="false" outlineLevel="0" collapsed="false">
      <c r="A10" s="24" t="s">
        <v>59</v>
      </c>
      <c r="B10" s="24" t="s">
        <v>60</v>
      </c>
      <c r="C10" s="24" t="s">
        <v>56</v>
      </c>
      <c r="D10" s="24" t="s">
        <v>57</v>
      </c>
      <c r="E10" s="24" t="s">
        <v>48</v>
      </c>
      <c r="F10" s="25" t="n">
        <v>67</v>
      </c>
      <c r="G10" s="25" t="n">
        <v>1</v>
      </c>
      <c r="H10" s="26" t="n">
        <v>0</v>
      </c>
      <c r="I10" s="25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5" t="n">
        <v>0</v>
      </c>
      <c r="R10" s="26" t="n">
        <v>0</v>
      </c>
      <c r="S10" s="24" t="s">
        <v>55</v>
      </c>
      <c r="T10" s="24"/>
    </row>
    <row r="11" customFormat="false" ht="15" hidden="false" customHeight="false" outlineLevel="0" collapsed="false">
      <c r="A11" s="27" t="s">
        <v>61</v>
      </c>
      <c r="B11" s="27" t="s">
        <v>60</v>
      </c>
      <c r="C11" s="27" t="s">
        <v>53</v>
      </c>
      <c r="D11" s="27" t="s">
        <v>54</v>
      </c>
      <c r="E11" s="27" t="s">
        <v>48</v>
      </c>
      <c r="F11" s="28" t="n">
        <v>1</v>
      </c>
      <c r="G11" s="28" t="n">
        <v>0</v>
      </c>
      <c r="H11" s="29" t="n">
        <v>0</v>
      </c>
      <c r="I11" s="28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8" t="n">
        <v>0</v>
      </c>
      <c r="R11" s="29" t="n">
        <v>0</v>
      </c>
      <c r="S11" s="27" t="s">
        <v>55</v>
      </c>
      <c r="T11" s="27"/>
    </row>
    <row r="12" customFormat="false" ht="15" hidden="false" customHeight="false" outlineLevel="0" collapsed="false">
      <c r="A12" s="24" t="s">
        <v>62</v>
      </c>
      <c r="B12" s="24" t="s">
        <v>60</v>
      </c>
      <c r="C12" s="24" t="s">
        <v>56</v>
      </c>
      <c r="D12" s="24" t="s">
        <v>57</v>
      </c>
      <c r="E12" s="24" t="s">
        <v>48</v>
      </c>
      <c r="F12" s="25" t="n">
        <v>13</v>
      </c>
      <c r="G12" s="25" t="n">
        <v>0</v>
      </c>
      <c r="H12" s="26" t="n">
        <v>0</v>
      </c>
      <c r="I12" s="25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5" t="n">
        <v>0</v>
      </c>
      <c r="R12" s="26" t="n">
        <v>0</v>
      </c>
      <c r="S12" s="24" t="s">
        <v>55</v>
      </c>
      <c r="T12" s="24"/>
    </row>
    <row r="13" customFormat="false" ht="15" hidden="false" customHeight="false" outlineLevel="0" collapsed="false">
      <c r="A13" s="27" t="s">
        <v>63</v>
      </c>
      <c r="B13" s="27" t="s">
        <v>64</v>
      </c>
      <c r="C13" s="27" t="s">
        <v>53</v>
      </c>
      <c r="D13" s="27" t="s">
        <v>54</v>
      </c>
      <c r="E13" s="27" t="s">
        <v>48</v>
      </c>
      <c r="F13" s="28" t="n">
        <v>6</v>
      </c>
      <c r="G13" s="28" t="n">
        <v>0</v>
      </c>
      <c r="H13" s="29" t="n">
        <v>0</v>
      </c>
      <c r="I13" s="28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9" t="n">
        <v>0</v>
      </c>
      <c r="P13" s="29" t="n">
        <v>0</v>
      </c>
      <c r="Q13" s="28" t="n">
        <v>0</v>
      </c>
      <c r="R13" s="29" t="n">
        <v>0</v>
      </c>
      <c r="S13" s="27" t="s">
        <v>55</v>
      </c>
      <c r="T13" s="27"/>
    </row>
    <row r="14" customFormat="false" ht="15" hidden="false" customHeight="false" outlineLevel="0" collapsed="false">
      <c r="A14" s="24" t="s">
        <v>65</v>
      </c>
      <c r="B14" s="24" t="s">
        <v>52</v>
      </c>
      <c r="C14" s="24" t="s">
        <v>53</v>
      </c>
      <c r="D14" s="24" t="s">
        <v>54</v>
      </c>
      <c r="E14" s="24" t="s">
        <v>48</v>
      </c>
      <c r="F14" s="25" t="n">
        <v>11</v>
      </c>
      <c r="G14" s="25" t="n">
        <v>3</v>
      </c>
      <c r="H14" s="26" t="n">
        <v>6.79</v>
      </c>
      <c r="I14" s="25" t="n">
        <v>1</v>
      </c>
      <c r="J14" s="26" t="n">
        <v>6.79</v>
      </c>
      <c r="K14" s="26" t="n">
        <v>0</v>
      </c>
      <c r="L14" s="26" t="n">
        <v>0</v>
      </c>
      <c r="M14" s="26" t="n">
        <v>0</v>
      </c>
      <c r="N14" s="26" t="n">
        <v>6.79</v>
      </c>
      <c r="O14" s="26" t="n">
        <v>6.79</v>
      </c>
      <c r="P14" s="26" t="n">
        <v>5.02</v>
      </c>
      <c r="Q14" s="25" t="n">
        <v>1</v>
      </c>
      <c r="R14" s="26" t="n">
        <v>0</v>
      </c>
      <c r="S14" s="24" t="s">
        <v>55</v>
      </c>
      <c r="T14" s="24"/>
    </row>
    <row r="15" customFormat="false" ht="15" hidden="false" customHeight="false" outlineLevel="0" collapsed="false">
      <c r="A15" s="27" t="s">
        <v>65</v>
      </c>
      <c r="B15" s="27" t="s">
        <v>52</v>
      </c>
      <c r="C15" s="27" t="s">
        <v>56</v>
      </c>
      <c r="D15" s="27" t="s">
        <v>57</v>
      </c>
      <c r="E15" s="27" t="s">
        <v>48</v>
      </c>
      <c r="F15" s="28" t="n">
        <v>1</v>
      </c>
      <c r="G15" s="28" t="n">
        <v>0</v>
      </c>
      <c r="H15" s="29" t="n">
        <v>0</v>
      </c>
      <c r="I15" s="28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0</v>
      </c>
      <c r="P15" s="29" t="n">
        <v>0</v>
      </c>
      <c r="Q15" s="28" t="n">
        <v>0</v>
      </c>
      <c r="R15" s="29" t="n">
        <v>0</v>
      </c>
      <c r="S15" s="27" t="s">
        <v>55</v>
      </c>
      <c r="T15" s="27"/>
    </row>
    <row r="16" customFormat="false" ht="15" hidden="false" customHeight="false" outlineLevel="0" collapsed="false">
      <c r="A16" s="24" t="s">
        <v>66</v>
      </c>
      <c r="B16" s="24" t="s">
        <v>67</v>
      </c>
      <c r="C16" s="24" t="s">
        <v>53</v>
      </c>
      <c r="D16" s="24" t="s">
        <v>54</v>
      </c>
      <c r="E16" s="24" t="s">
        <v>48</v>
      </c>
      <c r="F16" s="25" t="n">
        <v>4</v>
      </c>
      <c r="G16" s="25" t="n">
        <v>1</v>
      </c>
      <c r="H16" s="26" t="n">
        <v>9.72</v>
      </c>
      <c r="I16" s="25" t="n">
        <v>1</v>
      </c>
      <c r="J16" s="26" t="n">
        <v>9.72</v>
      </c>
      <c r="K16" s="26" t="n">
        <v>0</v>
      </c>
      <c r="L16" s="26" t="n">
        <v>0</v>
      </c>
      <c r="M16" s="26" t="n">
        <v>0</v>
      </c>
      <c r="N16" s="26" t="n">
        <v>8.74</v>
      </c>
      <c r="O16" s="26" t="n">
        <v>8.74</v>
      </c>
      <c r="P16" s="26" t="n">
        <v>6.47</v>
      </c>
      <c r="Q16" s="25" t="n">
        <v>1</v>
      </c>
      <c r="R16" s="26" t="n">
        <v>0</v>
      </c>
      <c r="S16" s="24" t="s">
        <v>55</v>
      </c>
      <c r="T16" s="24"/>
    </row>
    <row r="17" customFormat="false" ht="15" hidden="false" customHeight="false" outlineLevel="0" collapsed="false">
      <c r="A17" s="27" t="s">
        <v>66</v>
      </c>
      <c r="B17" s="27" t="s">
        <v>67</v>
      </c>
      <c r="C17" s="27" t="s">
        <v>56</v>
      </c>
      <c r="D17" s="27" t="s">
        <v>57</v>
      </c>
      <c r="E17" s="27" t="s">
        <v>48</v>
      </c>
      <c r="F17" s="28" t="n">
        <v>2</v>
      </c>
      <c r="G17" s="28" t="n">
        <v>0</v>
      </c>
      <c r="H17" s="29" t="n">
        <v>0</v>
      </c>
      <c r="I17" s="28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8" t="n">
        <v>0</v>
      </c>
      <c r="R17" s="29" t="n">
        <v>0</v>
      </c>
      <c r="S17" s="27" t="s">
        <v>55</v>
      </c>
      <c r="T17" s="27"/>
    </row>
    <row r="18" customFormat="false" ht="15" hidden="false" customHeight="false" outlineLevel="0" collapsed="false">
      <c r="A18" s="24" t="s">
        <v>68</v>
      </c>
      <c r="B18" s="24" t="s">
        <v>52</v>
      </c>
      <c r="C18" s="24" t="s">
        <v>53</v>
      </c>
      <c r="D18" s="24" t="s">
        <v>54</v>
      </c>
      <c r="E18" s="24" t="s">
        <v>48</v>
      </c>
      <c r="F18" s="25" t="n">
        <v>15</v>
      </c>
      <c r="G18" s="25" t="n">
        <v>4</v>
      </c>
      <c r="H18" s="26" t="n">
        <v>14.36</v>
      </c>
      <c r="I18" s="25" t="n">
        <v>2</v>
      </c>
      <c r="J18" s="26" t="n">
        <v>14.36</v>
      </c>
      <c r="K18" s="26" t="n">
        <v>0</v>
      </c>
      <c r="L18" s="26" t="n">
        <v>0</v>
      </c>
      <c r="M18" s="26" t="n">
        <v>0</v>
      </c>
      <c r="N18" s="26" t="n">
        <v>14.36</v>
      </c>
      <c r="O18" s="26" t="n">
        <v>14.36</v>
      </c>
      <c r="P18" s="26" t="n">
        <v>10.63</v>
      </c>
      <c r="Q18" s="25" t="n">
        <v>2</v>
      </c>
      <c r="R18" s="26" t="n">
        <v>0</v>
      </c>
      <c r="S18" s="24" t="s">
        <v>55</v>
      </c>
      <c r="T18" s="24"/>
    </row>
    <row r="19" customFormat="false" ht="15" hidden="false" customHeight="false" outlineLevel="0" collapsed="false">
      <c r="A19" s="27" t="s">
        <v>68</v>
      </c>
      <c r="B19" s="27" t="s">
        <v>52</v>
      </c>
      <c r="C19" s="27" t="s">
        <v>56</v>
      </c>
      <c r="D19" s="27" t="s">
        <v>57</v>
      </c>
      <c r="E19" s="27" t="s">
        <v>48</v>
      </c>
      <c r="F19" s="28" t="n">
        <v>1</v>
      </c>
      <c r="G19" s="28" t="n">
        <v>0</v>
      </c>
      <c r="H19" s="29" t="n">
        <v>0</v>
      </c>
      <c r="I19" s="28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 t="n">
        <v>0</v>
      </c>
      <c r="Q19" s="28" t="n">
        <v>0</v>
      </c>
      <c r="R19" s="29" t="n">
        <v>0</v>
      </c>
      <c r="S19" s="27" t="s">
        <v>55</v>
      </c>
      <c r="T19" s="27"/>
    </row>
    <row r="20" customFormat="false" ht="15" hidden="false" customHeight="false" outlineLevel="0" collapsed="false">
      <c r="A20" s="24" t="s">
        <v>69</v>
      </c>
      <c r="B20" s="24" t="s">
        <v>67</v>
      </c>
      <c r="C20" s="24" t="s">
        <v>53</v>
      </c>
      <c r="D20" s="24" t="s">
        <v>54</v>
      </c>
      <c r="E20" s="24" t="s">
        <v>48</v>
      </c>
      <c r="F20" s="25" t="n">
        <v>5</v>
      </c>
      <c r="G20" s="25" t="n">
        <v>0</v>
      </c>
      <c r="H20" s="26" t="n">
        <v>0</v>
      </c>
      <c r="I20" s="25" t="n">
        <v>0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5" t="n">
        <v>0</v>
      </c>
      <c r="R20" s="26" t="n">
        <v>0</v>
      </c>
      <c r="S20" s="24" t="s">
        <v>55</v>
      </c>
      <c r="T20" s="24"/>
    </row>
    <row r="21" customFormat="false" ht="15" hidden="false" customHeight="false" outlineLevel="0" collapsed="false">
      <c r="A21" s="27" t="s">
        <v>69</v>
      </c>
      <c r="B21" s="27" t="s">
        <v>67</v>
      </c>
      <c r="C21" s="27" t="s">
        <v>56</v>
      </c>
      <c r="D21" s="27" t="s">
        <v>57</v>
      </c>
      <c r="E21" s="27" t="s">
        <v>48</v>
      </c>
      <c r="F21" s="28" t="n">
        <v>2</v>
      </c>
      <c r="G21" s="28" t="n">
        <v>0</v>
      </c>
      <c r="H21" s="29" t="n">
        <v>0</v>
      </c>
      <c r="I21" s="28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9" t="n">
        <v>0</v>
      </c>
      <c r="P21" s="29" t="n">
        <v>0</v>
      </c>
      <c r="Q21" s="28" t="n">
        <v>0</v>
      </c>
      <c r="R21" s="29" t="n">
        <v>0</v>
      </c>
      <c r="S21" s="27" t="s">
        <v>55</v>
      </c>
      <c r="T21" s="27"/>
    </row>
    <row r="22" customFormat="false" ht="15" hidden="false" customHeight="false" outlineLevel="0" collapsed="false">
      <c r="A22" s="24" t="s">
        <v>70</v>
      </c>
      <c r="B22" s="24" t="s">
        <v>52</v>
      </c>
      <c r="C22" s="24" t="s">
        <v>53</v>
      </c>
      <c r="D22" s="24" t="s">
        <v>54</v>
      </c>
      <c r="E22" s="24" t="s">
        <v>48</v>
      </c>
      <c r="F22" s="25" t="n">
        <v>10</v>
      </c>
      <c r="G22" s="25" t="n">
        <v>2</v>
      </c>
      <c r="H22" s="26" t="n">
        <v>12.62</v>
      </c>
      <c r="I22" s="25" t="n">
        <v>2</v>
      </c>
      <c r="J22" s="26" t="n">
        <v>12.62</v>
      </c>
      <c r="K22" s="26" t="n">
        <v>6.07</v>
      </c>
      <c r="L22" s="26" t="n">
        <v>0</v>
      </c>
      <c r="M22" s="26" t="n">
        <v>0</v>
      </c>
      <c r="N22" s="26" t="n">
        <v>21.8</v>
      </c>
      <c r="O22" s="26" t="n">
        <v>6.55</v>
      </c>
      <c r="P22" s="26" t="n">
        <v>3.27</v>
      </c>
      <c r="Q22" s="25" t="n">
        <v>2</v>
      </c>
      <c r="R22" s="26" t="n">
        <v>0</v>
      </c>
      <c r="S22" s="24" t="s">
        <v>55</v>
      </c>
      <c r="T22" s="24"/>
    </row>
    <row r="23" customFormat="false" ht="15" hidden="false" customHeight="false" outlineLevel="0" collapsed="false">
      <c r="A23" s="27" t="s">
        <v>71</v>
      </c>
      <c r="B23" s="27" t="s">
        <v>67</v>
      </c>
      <c r="C23" s="27" t="s">
        <v>53</v>
      </c>
      <c r="D23" s="27" t="s">
        <v>54</v>
      </c>
      <c r="E23" s="27" t="s">
        <v>48</v>
      </c>
      <c r="F23" s="28" t="n">
        <v>1</v>
      </c>
      <c r="G23" s="28" t="n">
        <v>0</v>
      </c>
      <c r="H23" s="29" t="n">
        <v>0</v>
      </c>
      <c r="I23" s="28" t="n">
        <v>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n">
        <v>0</v>
      </c>
      <c r="O23" s="29" t="n">
        <v>0</v>
      </c>
      <c r="P23" s="29" t="n">
        <v>0</v>
      </c>
      <c r="Q23" s="28" t="n">
        <v>0</v>
      </c>
      <c r="R23" s="29" t="n">
        <v>0</v>
      </c>
      <c r="S23" s="27" t="s">
        <v>55</v>
      </c>
      <c r="T23" s="27"/>
    </row>
    <row r="24" customFormat="false" ht="15" hidden="false" customHeight="false" outlineLevel="0" collapsed="false">
      <c r="A24" s="24" t="s">
        <v>72</v>
      </c>
      <c r="B24" s="24" t="s">
        <v>52</v>
      </c>
      <c r="C24" s="24" t="s">
        <v>53</v>
      </c>
      <c r="D24" s="24" t="s">
        <v>54</v>
      </c>
      <c r="E24" s="24" t="s">
        <v>48</v>
      </c>
      <c r="F24" s="25" t="n">
        <v>2</v>
      </c>
      <c r="G24" s="25" t="n">
        <v>0</v>
      </c>
      <c r="H24" s="26" t="n">
        <v>0</v>
      </c>
      <c r="I24" s="25" t="n">
        <v>0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0</v>
      </c>
      <c r="P24" s="26" t="n">
        <v>0</v>
      </c>
      <c r="Q24" s="25" t="n">
        <v>0</v>
      </c>
      <c r="R24" s="26" t="n">
        <v>0</v>
      </c>
      <c r="S24" s="24" t="s">
        <v>55</v>
      </c>
      <c r="T24" s="24"/>
    </row>
    <row r="25" customFormat="false" ht="15" hidden="false" customHeight="false" outlineLevel="0" collapsed="false">
      <c r="A25" s="27" t="s">
        <v>73</v>
      </c>
      <c r="B25" s="27" t="s">
        <v>74</v>
      </c>
      <c r="C25" s="27" t="s">
        <v>53</v>
      </c>
      <c r="D25" s="27" t="s">
        <v>54</v>
      </c>
      <c r="E25" s="27" t="s">
        <v>48</v>
      </c>
      <c r="F25" s="28" t="n">
        <v>32</v>
      </c>
      <c r="G25" s="28" t="n">
        <v>2</v>
      </c>
      <c r="H25" s="29" t="n">
        <v>1.94</v>
      </c>
      <c r="I25" s="28" t="n">
        <v>1</v>
      </c>
      <c r="J25" s="29" t="n">
        <v>3.88</v>
      </c>
      <c r="K25" s="29" t="n">
        <v>0</v>
      </c>
      <c r="L25" s="29" t="n">
        <v>0</v>
      </c>
      <c r="M25" s="29" t="n">
        <v>0</v>
      </c>
      <c r="N25" s="29" t="n">
        <v>3.88</v>
      </c>
      <c r="O25" s="29" t="n">
        <v>3.88</v>
      </c>
      <c r="P25" s="29" t="n">
        <v>2.87</v>
      </c>
      <c r="Q25" s="28" t="n">
        <v>0</v>
      </c>
      <c r="R25" s="29" t="n">
        <v>0</v>
      </c>
      <c r="S25" s="27" t="s">
        <v>55</v>
      </c>
      <c r="T25" s="27"/>
    </row>
    <row r="26" customFormat="false" ht="15" hidden="false" customHeight="false" outlineLevel="0" collapsed="false">
      <c r="A26" s="24" t="s">
        <v>73</v>
      </c>
      <c r="B26" s="24" t="s">
        <v>74</v>
      </c>
      <c r="C26" s="24" t="s">
        <v>56</v>
      </c>
      <c r="D26" s="24" t="s">
        <v>57</v>
      </c>
      <c r="E26" s="24" t="s">
        <v>48</v>
      </c>
      <c r="F26" s="25" t="n">
        <v>907</v>
      </c>
      <c r="G26" s="25" t="n">
        <v>17</v>
      </c>
      <c r="H26" s="26" t="n">
        <v>13.58</v>
      </c>
      <c r="I26" s="25" t="n">
        <v>6</v>
      </c>
      <c r="J26" s="26" t="n">
        <v>21.34</v>
      </c>
      <c r="K26" s="26" t="n">
        <v>5.81</v>
      </c>
      <c r="L26" s="26" t="n">
        <v>0.09</v>
      </c>
      <c r="M26" s="26" t="n">
        <v>0</v>
      </c>
      <c r="N26" s="26" t="n">
        <v>21.17</v>
      </c>
      <c r="O26" s="26" t="n">
        <v>15.45</v>
      </c>
      <c r="P26" s="26" t="n">
        <v>9.95</v>
      </c>
      <c r="Q26" s="25" t="n">
        <v>1</v>
      </c>
      <c r="R26" s="26" t="n">
        <v>0</v>
      </c>
      <c r="S26" s="24" t="s">
        <v>55</v>
      </c>
      <c r="T26" s="24"/>
    </row>
    <row r="27" customFormat="false" ht="15" hidden="false" customHeight="false" outlineLevel="0" collapsed="false">
      <c r="A27" s="27" t="s">
        <v>75</v>
      </c>
      <c r="B27" s="27" t="s">
        <v>74</v>
      </c>
      <c r="C27" s="27" t="s">
        <v>56</v>
      </c>
      <c r="D27" s="27" t="s">
        <v>57</v>
      </c>
      <c r="E27" s="27" t="s">
        <v>48</v>
      </c>
      <c r="F27" s="28" t="n">
        <v>190</v>
      </c>
      <c r="G27" s="28" t="n">
        <v>0</v>
      </c>
      <c r="H27" s="29" t="n">
        <v>0</v>
      </c>
      <c r="I27" s="28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0</v>
      </c>
      <c r="Q27" s="28" t="n">
        <v>0</v>
      </c>
      <c r="R27" s="29" t="n">
        <v>0</v>
      </c>
      <c r="S27" s="27" t="s">
        <v>55</v>
      </c>
      <c r="T27" s="27"/>
    </row>
    <row r="28" customFormat="false" ht="15" hidden="false" customHeight="false" outlineLevel="0" collapsed="false">
      <c r="A28" s="24" t="s">
        <v>76</v>
      </c>
      <c r="B28" s="24" t="s">
        <v>74</v>
      </c>
      <c r="C28" s="24" t="s">
        <v>56</v>
      </c>
      <c r="D28" s="24" t="s">
        <v>57</v>
      </c>
      <c r="E28" s="24" t="s">
        <v>48</v>
      </c>
      <c r="F28" s="25" t="n">
        <v>155</v>
      </c>
      <c r="G28" s="25" t="n">
        <v>7</v>
      </c>
      <c r="H28" s="26" t="n">
        <v>0</v>
      </c>
      <c r="I28" s="25" t="n">
        <v>0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5" t="n">
        <v>0</v>
      </c>
      <c r="R28" s="26" t="n">
        <v>0</v>
      </c>
      <c r="S28" s="24" t="s">
        <v>55</v>
      </c>
      <c r="T28" s="24"/>
    </row>
    <row r="29" customFormat="false" ht="15" hidden="false" customHeight="false" outlineLevel="0" collapsed="false">
      <c r="A29" s="27" t="s">
        <v>77</v>
      </c>
      <c r="B29" s="27" t="s">
        <v>74</v>
      </c>
      <c r="C29" s="27" t="s">
        <v>56</v>
      </c>
      <c r="D29" s="27" t="s">
        <v>57</v>
      </c>
      <c r="E29" s="27" t="s">
        <v>48</v>
      </c>
      <c r="F29" s="28" t="n">
        <v>54</v>
      </c>
      <c r="G29" s="28" t="n">
        <v>1</v>
      </c>
      <c r="H29" s="29" t="n">
        <v>1.94</v>
      </c>
      <c r="I29" s="28" t="n">
        <v>1</v>
      </c>
      <c r="J29" s="29" t="n">
        <v>1.94</v>
      </c>
      <c r="K29" s="29" t="n">
        <v>0</v>
      </c>
      <c r="L29" s="29" t="n">
        <v>0</v>
      </c>
      <c r="M29" s="29" t="n">
        <v>0</v>
      </c>
      <c r="N29" s="29" t="n">
        <v>1.94</v>
      </c>
      <c r="O29" s="29" t="n">
        <v>1.94</v>
      </c>
      <c r="P29" s="29" t="n">
        <v>1.44</v>
      </c>
      <c r="Q29" s="28" t="n">
        <v>0</v>
      </c>
      <c r="R29" s="29" t="n">
        <v>0</v>
      </c>
      <c r="S29" s="27" t="s">
        <v>55</v>
      </c>
      <c r="T29" s="27"/>
    </row>
    <row r="30" customFormat="false" ht="15" hidden="false" customHeight="false" outlineLevel="0" collapsed="false">
      <c r="A30" s="24" t="s">
        <v>78</v>
      </c>
      <c r="B30" s="24" t="s">
        <v>79</v>
      </c>
      <c r="C30" s="24" t="s">
        <v>53</v>
      </c>
      <c r="D30" s="24" t="s">
        <v>54</v>
      </c>
      <c r="E30" s="24" t="s">
        <v>48</v>
      </c>
      <c r="F30" s="25" t="n">
        <v>24</v>
      </c>
      <c r="G30" s="25" t="n">
        <v>6</v>
      </c>
      <c r="H30" s="26" t="n">
        <v>31.28</v>
      </c>
      <c r="I30" s="25" t="n">
        <v>3</v>
      </c>
      <c r="J30" s="26" t="n">
        <v>31.28</v>
      </c>
      <c r="K30" s="26" t="n">
        <v>16.62</v>
      </c>
      <c r="L30" s="26" t="n">
        <v>3.59</v>
      </c>
      <c r="M30" s="26" t="n">
        <v>8.3</v>
      </c>
      <c r="N30" s="26" t="n">
        <v>0.19</v>
      </c>
      <c r="O30" s="26" t="n">
        <v>-4.52</v>
      </c>
      <c r="P30" s="26" t="n">
        <v>-4.82</v>
      </c>
      <c r="Q30" s="25" t="n">
        <v>3</v>
      </c>
      <c r="R30" s="26" t="n">
        <v>0</v>
      </c>
      <c r="S30" s="24" t="s">
        <v>55</v>
      </c>
      <c r="T30" s="24"/>
    </row>
    <row r="31" customFormat="false" ht="15" hidden="false" customHeight="false" outlineLevel="0" collapsed="false">
      <c r="A31" s="27" t="s">
        <v>78</v>
      </c>
      <c r="B31" s="27" t="s">
        <v>79</v>
      </c>
      <c r="C31" s="27" t="s">
        <v>56</v>
      </c>
      <c r="D31" s="27" t="s">
        <v>57</v>
      </c>
      <c r="E31" s="27" t="s">
        <v>48</v>
      </c>
      <c r="F31" s="28" t="n">
        <v>316</v>
      </c>
      <c r="G31" s="28" t="n">
        <v>9</v>
      </c>
      <c r="H31" s="29" t="n">
        <v>14.33</v>
      </c>
      <c r="I31" s="28" t="n">
        <v>5</v>
      </c>
      <c r="J31" s="29" t="n">
        <v>16.27</v>
      </c>
      <c r="K31" s="29" t="n">
        <v>0</v>
      </c>
      <c r="L31" s="29" t="n">
        <v>0</v>
      </c>
      <c r="M31" s="29" t="n">
        <v>0</v>
      </c>
      <c r="N31" s="29" t="n">
        <v>20.99</v>
      </c>
      <c r="O31" s="29" t="n">
        <v>16.08</v>
      </c>
      <c r="P31" s="29" t="n">
        <v>11.73</v>
      </c>
      <c r="Q31" s="28" t="n">
        <v>1</v>
      </c>
      <c r="R31" s="29" t="n">
        <v>0</v>
      </c>
      <c r="S31" s="27" t="s">
        <v>55</v>
      </c>
      <c r="T31" s="27"/>
    </row>
    <row r="32" customFormat="false" ht="15" hidden="false" customHeight="false" outlineLevel="0" collapsed="false">
      <c r="A32" s="24" t="s">
        <v>80</v>
      </c>
      <c r="B32" s="24" t="s">
        <v>79</v>
      </c>
      <c r="C32" s="24" t="s">
        <v>53</v>
      </c>
      <c r="D32" s="24" t="s">
        <v>54</v>
      </c>
      <c r="E32" s="24" t="s">
        <v>48</v>
      </c>
      <c r="F32" s="25" t="n">
        <v>128</v>
      </c>
      <c r="G32" s="25" t="n">
        <v>17</v>
      </c>
      <c r="H32" s="26" t="n">
        <v>21.38</v>
      </c>
      <c r="I32" s="25" t="n">
        <v>3</v>
      </c>
      <c r="J32" s="26" t="n">
        <v>21.38</v>
      </c>
      <c r="K32" s="26" t="n">
        <v>11.66</v>
      </c>
      <c r="L32" s="26" t="n">
        <v>0</v>
      </c>
      <c r="M32" s="26" t="n">
        <v>0</v>
      </c>
      <c r="N32" s="26" t="n">
        <v>9.72</v>
      </c>
      <c r="O32" s="26" t="n">
        <v>9.72</v>
      </c>
      <c r="P32" s="26" t="n">
        <v>7.19</v>
      </c>
      <c r="Q32" s="25" t="n">
        <v>3</v>
      </c>
      <c r="R32" s="26" t="n">
        <v>0</v>
      </c>
      <c r="S32" s="24" t="s">
        <v>55</v>
      </c>
      <c r="T32" s="24"/>
    </row>
    <row r="33" customFormat="false" ht="15" hidden="false" customHeight="false" outlineLevel="0" collapsed="false">
      <c r="A33" s="27" t="s">
        <v>81</v>
      </c>
      <c r="B33" s="27" t="s">
        <v>79</v>
      </c>
      <c r="C33" s="27" t="s">
        <v>53</v>
      </c>
      <c r="D33" s="27" t="s">
        <v>54</v>
      </c>
      <c r="E33" s="27" t="s">
        <v>48</v>
      </c>
      <c r="F33" s="28" t="n">
        <v>134</v>
      </c>
      <c r="G33" s="28" t="n">
        <v>28</v>
      </c>
      <c r="H33" s="29" t="n">
        <v>32.96</v>
      </c>
      <c r="I33" s="28" t="n">
        <v>7</v>
      </c>
      <c r="J33" s="29" t="n">
        <v>40.73</v>
      </c>
      <c r="K33" s="29" t="n">
        <v>25.22</v>
      </c>
      <c r="L33" s="29" t="n">
        <v>0</v>
      </c>
      <c r="M33" s="29" t="n">
        <v>0</v>
      </c>
      <c r="N33" s="29" t="n">
        <v>48.82</v>
      </c>
      <c r="O33" s="29" t="n">
        <v>11.56</v>
      </c>
      <c r="P33" s="29" t="n">
        <v>5.08</v>
      </c>
      <c r="Q33" s="28" t="n">
        <v>5</v>
      </c>
      <c r="R33" s="29" t="n">
        <v>0</v>
      </c>
      <c r="S33" s="27" t="s">
        <v>55</v>
      </c>
      <c r="T33" s="27"/>
    </row>
    <row r="34" customFormat="false" ht="15" hidden="false" customHeight="false" outlineLevel="0" collapsed="false">
      <c r="A34" s="24" t="s">
        <v>81</v>
      </c>
      <c r="B34" s="24" t="s">
        <v>79</v>
      </c>
      <c r="C34" s="24" t="s">
        <v>56</v>
      </c>
      <c r="D34" s="24" t="s">
        <v>57</v>
      </c>
      <c r="E34" s="24" t="s">
        <v>48</v>
      </c>
      <c r="F34" s="25" t="n">
        <v>4</v>
      </c>
      <c r="G34" s="25" t="n">
        <v>0</v>
      </c>
      <c r="H34" s="26" t="n">
        <v>0</v>
      </c>
      <c r="I34" s="25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0</v>
      </c>
      <c r="P34" s="26" t="n">
        <v>0</v>
      </c>
      <c r="Q34" s="25" t="n">
        <v>0</v>
      </c>
      <c r="R34" s="26" t="n">
        <v>0</v>
      </c>
      <c r="S34" s="24" t="s">
        <v>55</v>
      </c>
      <c r="T34" s="24"/>
    </row>
    <row r="35" customFormat="false" ht="15" hidden="false" customHeight="false" outlineLevel="0" collapsed="false">
      <c r="A35" s="27" t="s">
        <v>82</v>
      </c>
      <c r="B35" s="27" t="s">
        <v>79</v>
      </c>
      <c r="C35" s="27" t="s">
        <v>56</v>
      </c>
      <c r="D35" s="27" t="s">
        <v>57</v>
      </c>
      <c r="E35" s="27" t="s">
        <v>48</v>
      </c>
      <c r="F35" s="28" t="n">
        <v>70</v>
      </c>
      <c r="G35" s="28" t="n">
        <v>2</v>
      </c>
      <c r="H35" s="29" t="n">
        <v>3.88</v>
      </c>
      <c r="I35" s="28" t="n">
        <v>2</v>
      </c>
      <c r="J35" s="29" t="n">
        <v>5.82</v>
      </c>
      <c r="K35" s="29" t="n">
        <v>0</v>
      </c>
      <c r="L35" s="29" t="n">
        <v>2.21</v>
      </c>
      <c r="M35" s="29" t="n">
        <v>0.34</v>
      </c>
      <c r="N35" s="29" t="n">
        <v>3.88</v>
      </c>
      <c r="O35" s="29" t="n">
        <v>5.74</v>
      </c>
      <c r="P35" s="29" t="n">
        <v>4.26</v>
      </c>
      <c r="Q35" s="28" t="n">
        <v>0</v>
      </c>
      <c r="R35" s="29" t="n">
        <v>0</v>
      </c>
      <c r="S35" s="27" t="s">
        <v>55</v>
      </c>
      <c r="T35" s="27"/>
    </row>
    <row r="36" customFormat="false" ht="15" hidden="false" customHeight="false" outlineLevel="0" collapsed="false">
      <c r="A36" s="24" t="s">
        <v>83</v>
      </c>
      <c r="B36" s="24" t="s">
        <v>84</v>
      </c>
      <c r="C36" s="24" t="s">
        <v>53</v>
      </c>
      <c r="D36" s="24" t="s">
        <v>54</v>
      </c>
      <c r="E36" s="24" t="s">
        <v>48</v>
      </c>
      <c r="F36" s="25" t="n">
        <v>1</v>
      </c>
      <c r="G36" s="25" t="n">
        <v>0</v>
      </c>
      <c r="H36" s="26" t="n">
        <v>0</v>
      </c>
      <c r="I36" s="25" t="n">
        <v>0</v>
      </c>
      <c r="J36" s="26" t="n">
        <v>0</v>
      </c>
      <c r="K36" s="26" t="n">
        <v>0</v>
      </c>
      <c r="L36" s="26" t="n">
        <v>0</v>
      </c>
      <c r="M36" s="26" t="n">
        <v>0</v>
      </c>
      <c r="N36" s="26" t="n">
        <v>0</v>
      </c>
      <c r="O36" s="26" t="n">
        <v>0</v>
      </c>
      <c r="P36" s="26" t="n">
        <v>0</v>
      </c>
      <c r="Q36" s="25" t="n">
        <v>0</v>
      </c>
      <c r="R36" s="26" t="n">
        <v>0</v>
      </c>
      <c r="S36" s="24" t="s">
        <v>55</v>
      </c>
      <c r="T36" s="24"/>
    </row>
    <row r="37" customFormat="false" ht="15" hidden="false" customHeight="false" outlineLevel="0" collapsed="false">
      <c r="A37" s="27" t="s">
        <v>83</v>
      </c>
      <c r="B37" s="27" t="s">
        <v>84</v>
      </c>
      <c r="C37" s="27" t="s">
        <v>56</v>
      </c>
      <c r="D37" s="27" t="s">
        <v>57</v>
      </c>
      <c r="E37" s="27" t="s">
        <v>48</v>
      </c>
      <c r="F37" s="28" t="n">
        <v>480</v>
      </c>
      <c r="G37" s="28" t="n">
        <v>6</v>
      </c>
      <c r="H37" s="29" t="n">
        <v>48.55</v>
      </c>
      <c r="I37" s="28" t="n">
        <v>5</v>
      </c>
      <c r="J37" s="29" t="n">
        <v>97.24</v>
      </c>
      <c r="K37" s="29" t="n">
        <v>68.38</v>
      </c>
      <c r="L37" s="29" t="n">
        <v>0</v>
      </c>
      <c r="M37" s="29" t="n">
        <v>0</v>
      </c>
      <c r="N37" s="29" t="n">
        <v>106.85</v>
      </c>
      <c r="O37" s="29" t="n">
        <v>9.59</v>
      </c>
      <c r="P37" s="29" t="n">
        <v>-8.7</v>
      </c>
      <c r="Q37" s="28" t="n">
        <v>5</v>
      </c>
      <c r="R37" s="29" t="n">
        <v>0</v>
      </c>
      <c r="S37" s="27" t="s">
        <v>55</v>
      </c>
      <c r="T37" s="27"/>
    </row>
    <row r="38" customFormat="false" ht="15" hidden="false" customHeight="false" outlineLevel="0" collapsed="false">
      <c r="A38" s="24" t="s">
        <v>85</v>
      </c>
      <c r="B38" s="24" t="s">
        <v>84</v>
      </c>
      <c r="C38" s="24" t="s">
        <v>53</v>
      </c>
      <c r="D38" s="24" t="s">
        <v>54</v>
      </c>
      <c r="E38" s="24" t="s">
        <v>48</v>
      </c>
      <c r="F38" s="25" t="n">
        <v>4</v>
      </c>
      <c r="G38" s="25" t="n">
        <v>0</v>
      </c>
      <c r="H38" s="26" t="n">
        <v>0</v>
      </c>
      <c r="I38" s="25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5" t="n">
        <v>0</v>
      </c>
      <c r="R38" s="26" t="n">
        <v>0</v>
      </c>
      <c r="S38" s="24" t="s">
        <v>55</v>
      </c>
      <c r="T38" s="24"/>
    </row>
    <row r="39" customFormat="false" ht="15" hidden="false" customHeight="false" outlineLevel="0" collapsed="false">
      <c r="A39" s="27" t="s">
        <v>86</v>
      </c>
      <c r="B39" s="27" t="s">
        <v>84</v>
      </c>
      <c r="C39" s="27" t="s">
        <v>53</v>
      </c>
      <c r="D39" s="27" t="s">
        <v>54</v>
      </c>
      <c r="E39" s="27" t="s">
        <v>48</v>
      </c>
      <c r="F39" s="28" t="n">
        <v>36</v>
      </c>
      <c r="G39" s="28" t="n">
        <v>2</v>
      </c>
      <c r="H39" s="29" t="n">
        <v>5.82</v>
      </c>
      <c r="I39" s="28" t="n">
        <v>1</v>
      </c>
      <c r="J39" s="29" t="n">
        <v>5.82</v>
      </c>
      <c r="K39" s="29" t="n">
        <v>0</v>
      </c>
      <c r="L39" s="29" t="n">
        <v>0</v>
      </c>
      <c r="M39" s="29" t="n">
        <v>0</v>
      </c>
      <c r="N39" s="29" t="n">
        <v>36.26</v>
      </c>
      <c r="O39" s="29" t="n">
        <v>5.82</v>
      </c>
      <c r="P39" s="29" t="n">
        <v>4.31</v>
      </c>
      <c r="Q39" s="28" t="n">
        <v>1</v>
      </c>
      <c r="R39" s="29" t="n">
        <v>0</v>
      </c>
      <c r="S39" s="27" t="s">
        <v>55</v>
      </c>
      <c r="T39" s="27"/>
    </row>
    <row r="40" customFormat="false" ht="15" hidden="false" customHeight="false" outlineLevel="0" collapsed="false">
      <c r="A40" s="24" t="s">
        <v>87</v>
      </c>
      <c r="B40" s="24" t="s">
        <v>84</v>
      </c>
      <c r="C40" s="24" t="s">
        <v>53</v>
      </c>
      <c r="D40" s="24" t="s">
        <v>54</v>
      </c>
      <c r="E40" s="24" t="s">
        <v>48</v>
      </c>
      <c r="F40" s="25" t="n">
        <v>7</v>
      </c>
      <c r="G40" s="25" t="n">
        <v>0</v>
      </c>
      <c r="H40" s="26" t="n">
        <v>0</v>
      </c>
      <c r="I40" s="25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5" t="n">
        <v>0</v>
      </c>
      <c r="R40" s="26" t="n">
        <v>0</v>
      </c>
      <c r="S40" s="24" t="s">
        <v>55</v>
      </c>
      <c r="T40" s="24"/>
    </row>
    <row r="41" customFormat="false" ht="15" hidden="false" customHeight="false" outlineLevel="0" collapsed="false">
      <c r="A41" s="27" t="s">
        <v>88</v>
      </c>
      <c r="B41" s="27" t="s">
        <v>84</v>
      </c>
      <c r="C41" s="27" t="s">
        <v>53</v>
      </c>
      <c r="D41" s="27" t="s">
        <v>54</v>
      </c>
      <c r="E41" s="27" t="s">
        <v>48</v>
      </c>
      <c r="F41" s="28" t="n">
        <v>108</v>
      </c>
      <c r="G41" s="28" t="n">
        <v>15</v>
      </c>
      <c r="H41" s="29" t="n">
        <v>75.64</v>
      </c>
      <c r="I41" s="28" t="n">
        <v>12</v>
      </c>
      <c r="J41" s="29" t="n">
        <v>97.52</v>
      </c>
      <c r="K41" s="29" t="n">
        <v>70.11</v>
      </c>
      <c r="L41" s="29" t="n">
        <v>0</v>
      </c>
      <c r="M41" s="29" t="n">
        <v>0</v>
      </c>
      <c r="N41" s="29" t="n">
        <v>116.19</v>
      </c>
      <c r="O41" s="29" t="n">
        <v>18.92</v>
      </c>
      <c r="P41" s="29" t="n">
        <v>-4.15</v>
      </c>
      <c r="Q41" s="28" t="n">
        <v>11</v>
      </c>
      <c r="R41" s="29" t="n">
        <v>0</v>
      </c>
      <c r="S41" s="27" t="s">
        <v>55</v>
      </c>
      <c r="T41" s="27"/>
    </row>
    <row r="42" customFormat="false" ht="15" hidden="false" customHeight="false" outlineLevel="0" collapsed="false">
      <c r="A42" s="24" t="s">
        <v>89</v>
      </c>
      <c r="B42" s="24" t="s">
        <v>90</v>
      </c>
      <c r="C42" s="24" t="s">
        <v>53</v>
      </c>
      <c r="D42" s="24" t="s">
        <v>54</v>
      </c>
      <c r="E42" s="24" t="s">
        <v>48</v>
      </c>
      <c r="F42" s="25" t="n">
        <v>2791</v>
      </c>
      <c r="G42" s="25" t="n">
        <v>445</v>
      </c>
      <c r="H42" s="26" t="n">
        <v>730.87</v>
      </c>
      <c r="I42" s="25" t="n">
        <v>134</v>
      </c>
      <c r="J42" s="26" t="n">
        <v>1191.71</v>
      </c>
      <c r="K42" s="26" t="n">
        <v>752.67</v>
      </c>
      <c r="L42" s="26" t="n">
        <v>640.42</v>
      </c>
      <c r="M42" s="26" t="n">
        <v>854.39</v>
      </c>
      <c r="N42" s="26" t="n">
        <v>878.47</v>
      </c>
      <c r="O42" s="26" t="n">
        <v>286.21</v>
      </c>
      <c r="P42" s="26" t="n">
        <v>122.26</v>
      </c>
      <c r="Q42" s="25" t="n">
        <v>100</v>
      </c>
      <c r="R42" s="26" t="n">
        <v>0</v>
      </c>
      <c r="S42" s="24" t="s">
        <v>55</v>
      </c>
      <c r="T42" s="24"/>
    </row>
    <row r="43" customFormat="false" ht="15" hidden="false" customHeight="false" outlineLevel="0" collapsed="false">
      <c r="A43" s="27" t="s">
        <v>89</v>
      </c>
      <c r="B43" s="27" t="s">
        <v>90</v>
      </c>
      <c r="C43" s="27" t="s">
        <v>56</v>
      </c>
      <c r="D43" s="27" t="s">
        <v>57</v>
      </c>
      <c r="E43" s="27" t="s">
        <v>48</v>
      </c>
      <c r="F43" s="28" t="n">
        <v>28463</v>
      </c>
      <c r="G43" s="28" t="n">
        <v>573</v>
      </c>
      <c r="H43" s="29" t="n">
        <v>1784.62</v>
      </c>
      <c r="I43" s="28" t="n">
        <v>387</v>
      </c>
      <c r="J43" s="29" t="n">
        <v>3789.57</v>
      </c>
      <c r="K43" s="29" t="n">
        <v>902.49</v>
      </c>
      <c r="L43" s="29" t="n">
        <v>758.9</v>
      </c>
      <c r="M43" s="29" t="n">
        <v>662</v>
      </c>
      <c r="N43" s="29" t="n">
        <v>3753.78</v>
      </c>
      <c r="O43" s="29" t="n">
        <v>2264.57</v>
      </c>
      <c r="P43" s="29" t="n">
        <v>1534.39</v>
      </c>
      <c r="Q43" s="28" t="n">
        <v>173</v>
      </c>
      <c r="R43" s="29" t="n">
        <v>0</v>
      </c>
      <c r="S43" s="27" t="s">
        <v>55</v>
      </c>
      <c r="T43" s="27"/>
    </row>
    <row r="44" customFormat="false" ht="15" hidden="false" customHeight="false" outlineLevel="0" collapsed="false">
      <c r="A44" s="24" t="s">
        <v>91</v>
      </c>
      <c r="B44" s="24" t="s">
        <v>92</v>
      </c>
      <c r="C44" s="24" t="s">
        <v>53</v>
      </c>
      <c r="D44" s="24" t="s">
        <v>54</v>
      </c>
      <c r="E44" s="24" t="s">
        <v>48</v>
      </c>
      <c r="F44" s="25" t="n">
        <v>4</v>
      </c>
      <c r="G44" s="25" t="n">
        <v>1</v>
      </c>
      <c r="H44" s="26" t="n">
        <v>28.96</v>
      </c>
      <c r="I44" s="25" t="n">
        <v>1</v>
      </c>
      <c r="J44" s="26" t="n">
        <v>28.96</v>
      </c>
      <c r="K44" s="26" t="n">
        <v>29.18</v>
      </c>
      <c r="L44" s="26" t="n">
        <v>0</v>
      </c>
      <c r="M44" s="26" t="n">
        <v>0</v>
      </c>
      <c r="N44" s="26" t="n">
        <v>2555.38</v>
      </c>
      <c r="O44" s="26" t="n">
        <v>1187.13</v>
      </c>
      <c r="P44" s="26" t="n">
        <v>801.31</v>
      </c>
      <c r="Q44" s="25" t="n">
        <v>1</v>
      </c>
      <c r="R44" s="26" t="n">
        <v>0</v>
      </c>
      <c r="S44" s="24" t="s">
        <v>55</v>
      </c>
      <c r="T44" s="24"/>
    </row>
    <row r="45" customFormat="false" ht="15" hidden="false" customHeight="false" outlineLevel="0" collapsed="false">
      <c r="A45" s="27" t="s">
        <v>91</v>
      </c>
      <c r="B45" s="27" t="s">
        <v>92</v>
      </c>
      <c r="C45" s="27" t="s">
        <v>56</v>
      </c>
      <c r="D45" s="27" t="s">
        <v>57</v>
      </c>
      <c r="E45" s="27" t="s">
        <v>48</v>
      </c>
      <c r="F45" s="28" t="n">
        <v>463</v>
      </c>
      <c r="G45" s="28" t="n">
        <v>0</v>
      </c>
      <c r="H45" s="29" t="n">
        <v>0</v>
      </c>
      <c r="I45" s="28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29" t="n">
        <v>0</v>
      </c>
      <c r="Q45" s="28" t="n">
        <v>0</v>
      </c>
      <c r="R45" s="29" t="n">
        <v>0</v>
      </c>
      <c r="S45" s="27" t="s">
        <v>55</v>
      </c>
      <c r="T45" s="27"/>
    </row>
    <row r="46" customFormat="false" ht="15" hidden="false" customHeight="false" outlineLevel="0" collapsed="false">
      <c r="A46" s="24" t="s">
        <v>93</v>
      </c>
      <c r="B46" s="24" t="s">
        <v>92</v>
      </c>
      <c r="C46" s="24" t="s">
        <v>53</v>
      </c>
      <c r="D46" s="24" t="s">
        <v>54</v>
      </c>
      <c r="E46" s="24" t="s">
        <v>48</v>
      </c>
      <c r="F46" s="25" t="n">
        <v>156</v>
      </c>
      <c r="G46" s="25" t="n">
        <v>36</v>
      </c>
      <c r="H46" s="26" t="n">
        <v>100.58</v>
      </c>
      <c r="I46" s="25" t="n">
        <v>16</v>
      </c>
      <c r="J46" s="26" t="n">
        <v>276.52</v>
      </c>
      <c r="K46" s="26" t="n">
        <v>32.93</v>
      </c>
      <c r="L46" s="26" t="n">
        <v>0</v>
      </c>
      <c r="M46" s="26" t="n">
        <v>0</v>
      </c>
      <c r="N46" s="26" t="n">
        <v>250.21</v>
      </c>
      <c r="O46" s="26" t="n">
        <v>214.82</v>
      </c>
      <c r="P46" s="26" t="n">
        <v>153.8</v>
      </c>
      <c r="Q46" s="25" t="n">
        <v>12</v>
      </c>
      <c r="R46" s="26" t="n">
        <v>0</v>
      </c>
      <c r="S46" s="24" t="s">
        <v>55</v>
      </c>
      <c r="T46" s="24"/>
    </row>
    <row r="47" customFormat="false" ht="15" hidden="false" customHeight="false" outlineLevel="0" collapsed="false">
      <c r="A47" s="27" t="s">
        <v>93</v>
      </c>
      <c r="B47" s="27" t="s">
        <v>92</v>
      </c>
      <c r="C47" s="27" t="s">
        <v>56</v>
      </c>
      <c r="D47" s="27" t="s">
        <v>57</v>
      </c>
      <c r="E47" s="27" t="s">
        <v>48</v>
      </c>
      <c r="F47" s="28" t="n">
        <v>20388</v>
      </c>
      <c r="G47" s="28" t="n">
        <v>340</v>
      </c>
      <c r="H47" s="29" t="n">
        <v>938.15</v>
      </c>
      <c r="I47" s="28" t="n">
        <v>202</v>
      </c>
      <c r="J47" s="29" t="n">
        <v>1613.07</v>
      </c>
      <c r="K47" s="29" t="n">
        <v>532.28</v>
      </c>
      <c r="L47" s="29" t="n">
        <v>419.22</v>
      </c>
      <c r="M47" s="29" t="n">
        <v>366.22</v>
      </c>
      <c r="N47" s="29" t="n">
        <v>1637.85</v>
      </c>
      <c r="O47" s="29" t="n">
        <v>819.87</v>
      </c>
      <c r="P47" s="29" t="n">
        <v>446.88</v>
      </c>
      <c r="Q47" s="28" t="n">
        <v>95</v>
      </c>
      <c r="R47" s="29" t="n">
        <v>0</v>
      </c>
      <c r="S47" s="27" t="s">
        <v>55</v>
      </c>
      <c r="T47" s="27"/>
    </row>
    <row r="48" customFormat="false" ht="15" hidden="false" customHeight="false" outlineLevel="0" collapsed="false">
      <c r="A48" s="24" t="s">
        <v>94</v>
      </c>
      <c r="B48" s="24" t="s">
        <v>92</v>
      </c>
      <c r="C48" s="24" t="s">
        <v>53</v>
      </c>
      <c r="D48" s="24" t="s">
        <v>54</v>
      </c>
      <c r="E48" s="24" t="s">
        <v>48</v>
      </c>
      <c r="F48" s="25" t="n">
        <v>397</v>
      </c>
      <c r="G48" s="25" t="n">
        <v>35</v>
      </c>
      <c r="H48" s="26" t="n">
        <v>99.6</v>
      </c>
      <c r="I48" s="25" t="n">
        <v>19</v>
      </c>
      <c r="J48" s="26" t="n">
        <v>102.22</v>
      </c>
      <c r="K48" s="26" t="n">
        <v>76</v>
      </c>
      <c r="L48" s="26" t="n">
        <v>62.82</v>
      </c>
      <c r="M48" s="26" t="n">
        <v>36.56</v>
      </c>
      <c r="N48" s="26" t="n">
        <v>57.89</v>
      </c>
      <c r="O48" s="26" t="n">
        <v>19.61</v>
      </c>
      <c r="P48" s="26" t="n">
        <v>3.74</v>
      </c>
      <c r="Q48" s="25" t="n">
        <v>16</v>
      </c>
      <c r="R48" s="26" t="n">
        <v>0</v>
      </c>
      <c r="S48" s="24" t="s">
        <v>55</v>
      </c>
      <c r="T48" s="24"/>
    </row>
    <row r="49" customFormat="false" ht="15" hidden="false" customHeight="false" outlineLevel="0" collapsed="false">
      <c r="A49" s="27" t="s">
        <v>95</v>
      </c>
      <c r="B49" s="27" t="s">
        <v>92</v>
      </c>
      <c r="C49" s="27" t="s">
        <v>53</v>
      </c>
      <c r="D49" s="27" t="s">
        <v>54</v>
      </c>
      <c r="E49" s="27" t="s">
        <v>48</v>
      </c>
      <c r="F49" s="28" t="n">
        <v>24</v>
      </c>
      <c r="G49" s="28" t="n">
        <v>3</v>
      </c>
      <c r="H49" s="29" t="n">
        <v>3.88</v>
      </c>
      <c r="I49" s="28" t="n">
        <v>2</v>
      </c>
      <c r="J49" s="29" t="n">
        <v>3.88</v>
      </c>
      <c r="K49" s="29" t="n">
        <v>0</v>
      </c>
      <c r="L49" s="29" t="n">
        <v>0</v>
      </c>
      <c r="M49" s="29" t="n">
        <v>0</v>
      </c>
      <c r="N49" s="29" t="n">
        <v>1.94</v>
      </c>
      <c r="O49" s="29" t="n">
        <v>1.94</v>
      </c>
      <c r="P49" s="29" t="n">
        <v>1.44</v>
      </c>
      <c r="Q49" s="28" t="n">
        <v>0</v>
      </c>
      <c r="R49" s="29" t="n">
        <v>0</v>
      </c>
      <c r="S49" s="27" t="s">
        <v>55</v>
      </c>
      <c r="T49" s="27"/>
    </row>
    <row r="50" customFormat="false" ht="15" hidden="false" customHeight="false" outlineLevel="0" collapsed="false">
      <c r="A50" s="24" t="s">
        <v>95</v>
      </c>
      <c r="B50" s="24" t="s">
        <v>92</v>
      </c>
      <c r="C50" s="24" t="s">
        <v>56</v>
      </c>
      <c r="D50" s="24" t="s">
        <v>57</v>
      </c>
      <c r="E50" s="24" t="s">
        <v>48</v>
      </c>
      <c r="F50" s="25" t="n">
        <v>7</v>
      </c>
      <c r="G50" s="25" t="n">
        <v>0</v>
      </c>
      <c r="H50" s="26" t="n">
        <v>0</v>
      </c>
      <c r="I50" s="25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5" t="n">
        <v>0</v>
      </c>
      <c r="R50" s="26" t="n">
        <v>0</v>
      </c>
      <c r="S50" s="24" t="s">
        <v>55</v>
      </c>
      <c r="T50" s="24"/>
    </row>
    <row r="51" customFormat="false" ht="15" hidden="false" customHeight="false" outlineLevel="0" collapsed="false">
      <c r="A51" s="27" t="s">
        <v>96</v>
      </c>
      <c r="B51" s="27" t="s">
        <v>92</v>
      </c>
      <c r="C51" s="27" t="s">
        <v>53</v>
      </c>
      <c r="D51" s="27" t="s">
        <v>54</v>
      </c>
      <c r="E51" s="27" t="s">
        <v>48</v>
      </c>
      <c r="F51" s="28" t="n">
        <v>161</v>
      </c>
      <c r="G51" s="28" t="n">
        <v>18</v>
      </c>
      <c r="H51" s="29" t="n">
        <v>38.63</v>
      </c>
      <c r="I51" s="28" t="n">
        <v>7</v>
      </c>
      <c r="J51" s="29" t="n">
        <v>40.56</v>
      </c>
      <c r="K51" s="29" t="n">
        <v>9.29</v>
      </c>
      <c r="L51" s="29" t="n">
        <v>13.4</v>
      </c>
      <c r="M51" s="29" t="n">
        <v>6.79</v>
      </c>
      <c r="N51" s="29" t="n">
        <v>48.95</v>
      </c>
      <c r="O51" s="29" t="n">
        <v>31.14</v>
      </c>
      <c r="P51" s="29" t="n">
        <v>22.15</v>
      </c>
      <c r="Q51" s="28" t="n">
        <v>6</v>
      </c>
      <c r="R51" s="29" t="n">
        <v>0</v>
      </c>
      <c r="S51" s="27" t="s">
        <v>55</v>
      </c>
      <c r="T51" s="27"/>
    </row>
    <row r="52" customFormat="false" ht="15" hidden="false" customHeight="false" outlineLevel="0" collapsed="false">
      <c r="A52" s="24" t="s">
        <v>96</v>
      </c>
      <c r="B52" s="24" t="s">
        <v>92</v>
      </c>
      <c r="C52" s="24" t="s">
        <v>56</v>
      </c>
      <c r="D52" s="24" t="s">
        <v>57</v>
      </c>
      <c r="E52" s="24" t="s">
        <v>48</v>
      </c>
      <c r="F52" s="25" t="n">
        <v>13</v>
      </c>
      <c r="G52" s="25" t="n">
        <v>0</v>
      </c>
      <c r="H52" s="26" t="n">
        <v>0</v>
      </c>
      <c r="I52" s="25" t="n">
        <v>0</v>
      </c>
      <c r="J52" s="26" t="n">
        <v>0</v>
      </c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5" t="n">
        <v>0</v>
      </c>
      <c r="R52" s="26" t="n">
        <v>0</v>
      </c>
      <c r="S52" s="24" t="s">
        <v>55</v>
      </c>
      <c r="T52" s="24"/>
    </row>
    <row r="53" customFormat="false" ht="15" hidden="false" customHeight="false" outlineLevel="0" collapsed="false">
      <c r="A53" s="27" t="s">
        <v>97</v>
      </c>
      <c r="B53" s="27" t="s">
        <v>98</v>
      </c>
      <c r="C53" s="27" t="s">
        <v>53</v>
      </c>
      <c r="D53" s="27" t="s">
        <v>54</v>
      </c>
      <c r="E53" s="27" t="s">
        <v>48</v>
      </c>
      <c r="F53" s="28" t="n">
        <v>30</v>
      </c>
      <c r="G53" s="28" t="n">
        <v>6</v>
      </c>
      <c r="H53" s="29" t="n">
        <v>7.77</v>
      </c>
      <c r="I53" s="28" t="n">
        <v>2</v>
      </c>
      <c r="J53" s="29" t="n">
        <v>9.7</v>
      </c>
      <c r="K53" s="29" t="n">
        <v>5.83</v>
      </c>
      <c r="L53" s="29" t="n">
        <v>0</v>
      </c>
      <c r="M53" s="29" t="n">
        <v>0</v>
      </c>
      <c r="N53" s="29" t="n">
        <v>4.47</v>
      </c>
      <c r="O53" s="29" t="n">
        <v>2.19</v>
      </c>
      <c r="P53" s="29" t="n">
        <v>1.54</v>
      </c>
      <c r="Q53" s="28" t="n">
        <v>1</v>
      </c>
      <c r="R53" s="29" t="n">
        <v>0</v>
      </c>
      <c r="S53" s="27" t="s">
        <v>55</v>
      </c>
      <c r="T53" s="27"/>
    </row>
    <row r="54" customFormat="false" ht="15" hidden="false" customHeight="false" outlineLevel="0" collapsed="false">
      <c r="A54" s="24" t="s">
        <v>97</v>
      </c>
      <c r="B54" s="24" t="s">
        <v>98</v>
      </c>
      <c r="C54" s="24" t="s">
        <v>56</v>
      </c>
      <c r="D54" s="24" t="s">
        <v>57</v>
      </c>
      <c r="E54" s="24" t="s">
        <v>48</v>
      </c>
      <c r="F54" s="25" t="n">
        <v>3173</v>
      </c>
      <c r="G54" s="25" t="n">
        <v>21</v>
      </c>
      <c r="H54" s="26" t="n">
        <v>130.05</v>
      </c>
      <c r="I54" s="25" t="n">
        <v>13</v>
      </c>
      <c r="J54" s="26" t="n">
        <v>284.5</v>
      </c>
      <c r="K54" s="26" t="n">
        <v>162.73</v>
      </c>
      <c r="L54" s="26" t="n">
        <v>9.51</v>
      </c>
      <c r="M54" s="26" t="n">
        <v>1.9</v>
      </c>
      <c r="N54" s="26" t="n">
        <v>308.13</v>
      </c>
      <c r="O54" s="26" t="n">
        <v>57.31</v>
      </c>
      <c r="P54" s="26" t="n">
        <v>3.86</v>
      </c>
      <c r="Q54" s="25" t="n">
        <v>9</v>
      </c>
      <c r="R54" s="26" t="n">
        <v>0</v>
      </c>
      <c r="S54" s="24" t="s">
        <v>55</v>
      </c>
      <c r="T54" s="24"/>
    </row>
    <row r="55" customFormat="false" ht="15" hidden="false" customHeight="false" outlineLevel="0" collapsed="false">
      <c r="A55" s="27" t="s">
        <v>99</v>
      </c>
      <c r="B55" s="27" t="s">
        <v>98</v>
      </c>
      <c r="C55" s="27" t="s">
        <v>56</v>
      </c>
      <c r="D55" s="27" t="s">
        <v>57</v>
      </c>
      <c r="E55" s="27" t="s">
        <v>48</v>
      </c>
      <c r="F55" s="28" t="n">
        <v>532</v>
      </c>
      <c r="G55" s="28" t="n">
        <v>4</v>
      </c>
      <c r="H55" s="29" t="n">
        <v>11.61</v>
      </c>
      <c r="I55" s="28" t="n">
        <v>2</v>
      </c>
      <c r="J55" s="29" t="n">
        <v>11.61</v>
      </c>
      <c r="K55" s="29" t="n">
        <v>0</v>
      </c>
      <c r="L55" s="29" t="n">
        <v>0</v>
      </c>
      <c r="M55" s="29" t="n">
        <v>0</v>
      </c>
      <c r="N55" s="29" t="n">
        <v>11.61</v>
      </c>
      <c r="O55" s="29" t="n">
        <v>11.61</v>
      </c>
      <c r="P55" s="29" t="n">
        <v>8.59</v>
      </c>
      <c r="Q55" s="28" t="n">
        <v>1</v>
      </c>
      <c r="R55" s="29" t="n">
        <v>0</v>
      </c>
      <c r="S55" s="27" t="s">
        <v>55</v>
      </c>
      <c r="T55" s="27"/>
    </row>
    <row r="56" customFormat="false" ht="15" hidden="false" customHeight="false" outlineLevel="0" collapsed="false">
      <c r="A56" s="24" t="s">
        <v>100</v>
      </c>
      <c r="B56" s="24" t="s">
        <v>98</v>
      </c>
      <c r="C56" s="24" t="s">
        <v>56</v>
      </c>
      <c r="D56" s="24" t="s">
        <v>57</v>
      </c>
      <c r="E56" s="24" t="s">
        <v>48</v>
      </c>
      <c r="F56" s="25" t="n">
        <v>35</v>
      </c>
      <c r="G56" s="25" t="n">
        <v>0</v>
      </c>
      <c r="H56" s="26" t="n">
        <v>0</v>
      </c>
      <c r="I56" s="25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5" t="n">
        <v>0</v>
      </c>
      <c r="R56" s="26" t="n">
        <v>0</v>
      </c>
      <c r="S56" s="24" t="s">
        <v>55</v>
      </c>
      <c r="T56" s="24"/>
    </row>
    <row r="57" customFormat="false" ht="15" hidden="false" customHeight="false" outlineLevel="0" collapsed="false">
      <c r="A57" s="27" t="s">
        <v>101</v>
      </c>
      <c r="B57" s="27" t="s">
        <v>98</v>
      </c>
      <c r="C57" s="27" t="s">
        <v>56</v>
      </c>
      <c r="D57" s="27" t="s">
        <v>57</v>
      </c>
      <c r="E57" s="27" t="s">
        <v>48</v>
      </c>
      <c r="F57" s="28" t="n">
        <v>81</v>
      </c>
      <c r="G57" s="28" t="n">
        <v>0</v>
      </c>
      <c r="H57" s="29" t="n">
        <v>0</v>
      </c>
      <c r="I57" s="28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29" t="n">
        <v>0</v>
      </c>
      <c r="Q57" s="28" t="n">
        <v>0</v>
      </c>
      <c r="R57" s="29" t="n">
        <v>0</v>
      </c>
      <c r="S57" s="27" t="s">
        <v>55</v>
      </c>
      <c r="T57" s="27"/>
    </row>
    <row r="58" customFormat="false" ht="15" hidden="false" customHeight="false" outlineLevel="0" collapsed="false">
      <c r="A58" s="24" t="s">
        <v>102</v>
      </c>
      <c r="B58" s="24" t="s">
        <v>103</v>
      </c>
      <c r="C58" s="24" t="s">
        <v>53</v>
      </c>
      <c r="D58" s="24" t="s">
        <v>54</v>
      </c>
      <c r="E58" s="24" t="s">
        <v>48</v>
      </c>
      <c r="F58" s="25" t="n">
        <v>408</v>
      </c>
      <c r="G58" s="25" t="n">
        <v>27</v>
      </c>
      <c r="H58" s="26" t="n">
        <v>19.35</v>
      </c>
      <c r="I58" s="25" t="n">
        <v>9</v>
      </c>
      <c r="J58" s="26" t="n">
        <v>25.36</v>
      </c>
      <c r="K58" s="26" t="n">
        <v>3.87</v>
      </c>
      <c r="L58" s="26" t="n">
        <v>6.5</v>
      </c>
      <c r="M58" s="26" t="n">
        <v>3.87</v>
      </c>
      <c r="N58" s="26" t="n">
        <v>14.41</v>
      </c>
      <c r="O58" s="26" t="n">
        <v>14.05</v>
      </c>
      <c r="P58" s="26" t="n">
        <v>10.26</v>
      </c>
      <c r="Q58" s="25" t="n">
        <v>0</v>
      </c>
      <c r="R58" s="26" t="n">
        <v>0</v>
      </c>
      <c r="S58" s="24" t="s">
        <v>55</v>
      </c>
      <c r="T58" s="24"/>
    </row>
    <row r="59" customFormat="false" ht="15" hidden="false" customHeight="false" outlineLevel="0" collapsed="false">
      <c r="A59" s="27" t="s">
        <v>102</v>
      </c>
      <c r="B59" s="27" t="s">
        <v>103</v>
      </c>
      <c r="C59" s="27" t="s">
        <v>56</v>
      </c>
      <c r="D59" s="27" t="s">
        <v>57</v>
      </c>
      <c r="E59" s="27" t="s">
        <v>48</v>
      </c>
      <c r="F59" s="28" t="n">
        <v>6729</v>
      </c>
      <c r="G59" s="28" t="n">
        <v>196</v>
      </c>
      <c r="H59" s="29" t="n">
        <v>1519.1</v>
      </c>
      <c r="I59" s="28" t="n">
        <v>116</v>
      </c>
      <c r="J59" s="29" t="n">
        <v>2138.76</v>
      </c>
      <c r="K59" s="29" t="n">
        <v>1088.45</v>
      </c>
      <c r="L59" s="29" t="n">
        <v>145.06</v>
      </c>
      <c r="M59" s="29" t="n">
        <v>184.31</v>
      </c>
      <c r="N59" s="29" t="n">
        <v>2782.48</v>
      </c>
      <c r="O59" s="29" t="n">
        <v>408.37</v>
      </c>
      <c r="P59" s="29" t="n">
        <v>46.21</v>
      </c>
      <c r="Q59" s="28" t="n">
        <v>54</v>
      </c>
      <c r="R59" s="29" t="n">
        <v>0</v>
      </c>
      <c r="S59" s="27" t="s">
        <v>55</v>
      </c>
      <c r="T59" s="27"/>
    </row>
    <row r="60" customFormat="false" ht="15" hidden="false" customHeight="false" outlineLevel="0" collapsed="false">
      <c r="A60" s="24" t="s">
        <v>104</v>
      </c>
      <c r="B60" s="24" t="s">
        <v>105</v>
      </c>
      <c r="C60" s="24" t="s">
        <v>53</v>
      </c>
      <c r="D60" s="24" t="s">
        <v>54</v>
      </c>
      <c r="E60" s="24" t="s">
        <v>48</v>
      </c>
      <c r="F60" s="25" t="n">
        <v>3</v>
      </c>
      <c r="G60" s="25" t="n">
        <v>0</v>
      </c>
      <c r="H60" s="26" t="n">
        <v>0</v>
      </c>
      <c r="I60" s="25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5" t="n">
        <v>0</v>
      </c>
      <c r="R60" s="26" t="n">
        <v>0</v>
      </c>
      <c r="S60" s="24" t="s">
        <v>55</v>
      </c>
      <c r="T60" s="24"/>
    </row>
    <row r="61" customFormat="false" ht="15" hidden="false" customHeight="false" outlineLevel="0" collapsed="false">
      <c r="A61" s="27" t="s">
        <v>106</v>
      </c>
      <c r="B61" s="27" t="s">
        <v>64</v>
      </c>
      <c r="C61" s="27" t="s">
        <v>53</v>
      </c>
      <c r="D61" s="27" t="s">
        <v>54</v>
      </c>
      <c r="E61" s="27" t="s">
        <v>48</v>
      </c>
      <c r="F61" s="28" t="n">
        <v>13</v>
      </c>
      <c r="G61" s="28" t="n">
        <v>3</v>
      </c>
      <c r="H61" s="29" t="n">
        <v>19.32</v>
      </c>
      <c r="I61" s="28" t="n">
        <v>2</v>
      </c>
      <c r="J61" s="29" t="n">
        <v>25.11</v>
      </c>
      <c r="K61" s="29" t="n">
        <v>46.27</v>
      </c>
      <c r="L61" s="29" t="n">
        <v>32.18</v>
      </c>
      <c r="M61" s="29" t="n">
        <v>61.28</v>
      </c>
      <c r="N61" s="29" t="n">
        <v>2.39</v>
      </c>
      <c r="O61" s="29" t="n">
        <v>-27.53</v>
      </c>
      <c r="P61" s="29" t="n">
        <v>-31.8</v>
      </c>
      <c r="Q61" s="28" t="n">
        <v>2</v>
      </c>
      <c r="R61" s="29" t="n">
        <v>0</v>
      </c>
      <c r="S61" s="27" t="s">
        <v>55</v>
      </c>
      <c r="T61" s="27"/>
    </row>
    <row r="62" customFormat="false" ht="15" hidden="false" customHeight="false" outlineLevel="0" collapsed="false">
      <c r="A62" s="24" t="s">
        <v>106</v>
      </c>
      <c r="B62" s="24" t="s">
        <v>64</v>
      </c>
      <c r="C62" s="24" t="s">
        <v>56</v>
      </c>
      <c r="D62" s="24" t="s">
        <v>57</v>
      </c>
      <c r="E62" s="24" t="s">
        <v>48</v>
      </c>
      <c r="F62" s="25" t="n">
        <v>26587</v>
      </c>
      <c r="G62" s="25" t="n">
        <v>566</v>
      </c>
      <c r="H62" s="26" t="n">
        <v>4955.54</v>
      </c>
      <c r="I62" s="25" t="n">
        <v>387</v>
      </c>
      <c r="J62" s="26" t="n">
        <v>11929.16</v>
      </c>
      <c r="K62" s="26" t="n">
        <v>7218.67</v>
      </c>
      <c r="L62" s="26" t="n">
        <v>2147.86</v>
      </c>
      <c r="M62" s="26" t="n">
        <v>2272.89</v>
      </c>
      <c r="N62" s="26" t="n">
        <v>16513.68</v>
      </c>
      <c r="O62" s="26" t="n">
        <v>2754.94</v>
      </c>
      <c r="P62" s="26" t="n">
        <v>515.45</v>
      </c>
      <c r="Q62" s="25" t="n">
        <v>232</v>
      </c>
      <c r="R62" s="26" t="n">
        <v>0</v>
      </c>
      <c r="S62" s="24" t="s">
        <v>55</v>
      </c>
      <c r="T62" s="24"/>
    </row>
    <row r="63" customFormat="false" ht="15" hidden="false" customHeight="false" outlineLevel="0" collapsed="false">
      <c r="A63" s="27" t="s">
        <v>107</v>
      </c>
      <c r="B63" s="27" t="s">
        <v>64</v>
      </c>
      <c r="C63" s="27" t="s">
        <v>53</v>
      </c>
      <c r="D63" s="27" t="s">
        <v>54</v>
      </c>
      <c r="E63" s="27" t="s">
        <v>48</v>
      </c>
      <c r="F63" s="28" t="n">
        <v>375</v>
      </c>
      <c r="G63" s="28" t="n">
        <v>26</v>
      </c>
      <c r="H63" s="29" t="n">
        <v>0</v>
      </c>
      <c r="I63" s="28" t="n">
        <v>0</v>
      </c>
      <c r="J63" s="29" t="n">
        <v>0</v>
      </c>
      <c r="K63" s="29" t="n">
        <v>0</v>
      </c>
      <c r="L63" s="29" t="n">
        <v>0</v>
      </c>
      <c r="M63" s="29" t="n">
        <v>0</v>
      </c>
      <c r="N63" s="29" t="n">
        <v>0</v>
      </c>
      <c r="O63" s="29" t="n">
        <v>0</v>
      </c>
      <c r="P63" s="29" t="n">
        <v>0</v>
      </c>
      <c r="Q63" s="28" t="n">
        <v>0</v>
      </c>
      <c r="R63" s="29" t="n">
        <v>0</v>
      </c>
      <c r="S63" s="27" t="s">
        <v>55</v>
      </c>
      <c r="T63" s="27"/>
    </row>
    <row r="64" customFormat="false" ht="15" hidden="false" customHeight="false" outlineLevel="0" collapsed="false">
      <c r="A64" s="24" t="s">
        <v>107</v>
      </c>
      <c r="B64" s="24" t="s">
        <v>64</v>
      </c>
      <c r="C64" s="24" t="s">
        <v>56</v>
      </c>
      <c r="D64" s="24" t="s">
        <v>57</v>
      </c>
      <c r="E64" s="24" t="s">
        <v>48</v>
      </c>
      <c r="F64" s="25" t="n">
        <v>106</v>
      </c>
      <c r="G64" s="25" t="n">
        <v>0</v>
      </c>
      <c r="H64" s="26" t="n">
        <v>0</v>
      </c>
      <c r="I64" s="25" t="n">
        <v>0</v>
      </c>
      <c r="J64" s="26" t="n">
        <v>0</v>
      </c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0</v>
      </c>
      <c r="P64" s="26" t="n">
        <v>0</v>
      </c>
      <c r="Q64" s="25" t="n">
        <v>0</v>
      </c>
      <c r="R64" s="26" t="n">
        <v>0</v>
      </c>
      <c r="S64" s="24" t="s">
        <v>55</v>
      </c>
      <c r="T64" s="24"/>
    </row>
    <row r="65" customFormat="false" ht="15" hidden="false" customHeight="false" outlineLevel="0" collapsed="false">
      <c r="A65" s="27" t="s">
        <v>108</v>
      </c>
      <c r="B65" s="27" t="s">
        <v>64</v>
      </c>
      <c r="C65" s="27" t="s">
        <v>53</v>
      </c>
      <c r="D65" s="27" t="s">
        <v>54</v>
      </c>
      <c r="E65" s="27" t="s">
        <v>48</v>
      </c>
      <c r="F65" s="28" t="n">
        <v>746</v>
      </c>
      <c r="G65" s="28" t="n">
        <v>94</v>
      </c>
      <c r="H65" s="29" t="n">
        <v>71.87</v>
      </c>
      <c r="I65" s="28" t="n">
        <v>20</v>
      </c>
      <c r="J65" s="29" t="n">
        <v>106.79</v>
      </c>
      <c r="K65" s="29" t="n">
        <v>111.09</v>
      </c>
      <c r="L65" s="29" t="n">
        <v>79.61</v>
      </c>
      <c r="M65" s="29" t="n">
        <v>60.48</v>
      </c>
      <c r="N65" s="29" t="n">
        <v>85.64</v>
      </c>
      <c r="O65" s="29" t="n">
        <v>-17.21</v>
      </c>
      <c r="P65" s="29" t="n">
        <v>-37.7</v>
      </c>
      <c r="Q65" s="28" t="n">
        <v>6</v>
      </c>
      <c r="R65" s="29" t="n">
        <v>0</v>
      </c>
      <c r="S65" s="27" t="s">
        <v>55</v>
      </c>
      <c r="T65" s="27"/>
    </row>
    <row r="66" customFormat="false" ht="15" hidden="false" customHeight="false" outlineLevel="0" collapsed="false">
      <c r="A66" s="24" t="s">
        <v>108</v>
      </c>
      <c r="B66" s="24" t="s">
        <v>64</v>
      </c>
      <c r="C66" s="24" t="s">
        <v>56</v>
      </c>
      <c r="D66" s="24" t="s">
        <v>57</v>
      </c>
      <c r="E66" s="24" t="s">
        <v>48</v>
      </c>
      <c r="F66" s="25" t="n">
        <v>7</v>
      </c>
      <c r="G66" s="25" t="n">
        <v>0</v>
      </c>
      <c r="H66" s="26" t="n">
        <v>0</v>
      </c>
      <c r="I66" s="25" t="n">
        <v>0</v>
      </c>
      <c r="J66" s="26" t="n">
        <v>0</v>
      </c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5" t="n">
        <v>0</v>
      </c>
      <c r="R66" s="26" t="n">
        <v>0</v>
      </c>
      <c r="S66" s="24" t="s">
        <v>55</v>
      </c>
      <c r="T66" s="24"/>
    </row>
    <row r="67" customFormat="false" ht="15" hidden="false" customHeight="false" outlineLevel="0" collapsed="false">
      <c r="A67" s="27" t="s">
        <v>109</v>
      </c>
      <c r="B67" s="27" t="s">
        <v>64</v>
      </c>
      <c r="C67" s="27" t="s">
        <v>56</v>
      </c>
      <c r="D67" s="27" t="s">
        <v>57</v>
      </c>
      <c r="E67" s="27" t="s">
        <v>48</v>
      </c>
      <c r="F67" s="28" t="n">
        <v>1194</v>
      </c>
      <c r="G67" s="28" t="n">
        <v>65</v>
      </c>
      <c r="H67" s="29" t="n">
        <v>134.86</v>
      </c>
      <c r="I67" s="28" t="n">
        <v>32</v>
      </c>
      <c r="J67" s="29" t="n">
        <v>151.33</v>
      </c>
      <c r="K67" s="29" t="n">
        <v>24.34</v>
      </c>
      <c r="L67" s="29" t="n">
        <v>43.02</v>
      </c>
      <c r="M67" s="29" t="n">
        <v>29.19</v>
      </c>
      <c r="N67" s="29" t="n">
        <v>134.91</v>
      </c>
      <c r="O67" s="29" t="n">
        <v>111.61</v>
      </c>
      <c r="P67" s="29" t="n">
        <v>77.89</v>
      </c>
      <c r="Q67" s="28" t="n">
        <v>10</v>
      </c>
      <c r="R67" s="29" t="n">
        <v>0</v>
      </c>
      <c r="S67" s="27" t="s">
        <v>55</v>
      </c>
      <c r="T67" s="27"/>
    </row>
    <row r="68" customFormat="false" ht="15" hidden="false" customHeight="false" outlineLevel="0" collapsed="false">
      <c r="A68" s="24" t="s">
        <v>110</v>
      </c>
      <c r="B68" s="24" t="s">
        <v>64</v>
      </c>
      <c r="C68" s="24" t="s">
        <v>53</v>
      </c>
      <c r="D68" s="24" t="s">
        <v>54</v>
      </c>
      <c r="E68" s="24" t="s">
        <v>48</v>
      </c>
      <c r="F68" s="25" t="n">
        <v>2</v>
      </c>
      <c r="G68" s="25" t="n">
        <v>0</v>
      </c>
      <c r="H68" s="26" t="n">
        <v>0</v>
      </c>
      <c r="I68" s="25" t="n">
        <v>0</v>
      </c>
      <c r="J68" s="26" t="n">
        <v>0</v>
      </c>
      <c r="K68" s="26" t="n">
        <v>0</v>
      </c>
      <c r="L68" s="26" t="n">
        <v>0</v>
      </c>
      <c r="M68" s="26" t="n">
        <v>0</v>
      </c>
      <c r="N68" s="26" t="n">
        <v>0</v>
      </c>
      <c r="O68" s="26" t="n">
        <v>0</v>
      </c>
      <c r="P68" s="26" t="n">
        <v>0</v>
      </c>
      <c r="Q68" s="25" t="n">
        <v>0</v>
      </c>
      <c r="R68" s="26" t="n">
        <v>0</v>
      </c>
      <c r="S68" s="24" t="s">
        <v>55</v>
      </c>
      <c r="T68" s="24"/>
    </row>
    <row r="69" customFormat="false" ht="15" hidden="false" customHeight="false" outlineLevel="0" collapsed="false">
      <c r="A69" s="27" t="s">
        <v>110</v>
      </c>
      <c r="B69" s="27" t="s">
        <v>64</v>
      </c>
      <c r="C69" s="27" t="s">
        <v>56</v>
      </c>
      <c r="D69" s="27" t="s">
        <v>57</v>
      </c>
      <c r="E69" s="27" t="s">
        <v>48</v>
      </c>
      <c r="F69" s="28" t="n">
        <v>1351</v>
      </c>
      <c r="G69" s="28" t="n">
        <v>118</v>
      </c>
      <c r="H69" s="29" t="n">
        <v>206.86</v>
      </c>
      <c r="I69" s="28" t="n">
        <v>49</v>
      </c>
      <c r="J69" s="29" t="n">
        <v>211.69</v>
      </c>
      <c r="K69" s="29" t="n">
        <v>39.63</v>
      </c>
      <c r="L69" s="29" t="n">
        <v>88.48</v>
      </c>
      <c r="M69" s="29" t="n">
        <v>88.13</v>
      </c>
      <c r="N69" s="29" t="n">
        <v>192.77</v>
      </c>
      <c r="O69" s="29" t="n">
        <v>157.02</v>
      </c>
      <c r="P69" s="29" t="n">
        <v>108.05</v>
      </c>
      <c r="Q69" s="28" t="n">
        <v>20</v>
      </c>
      <c r="R69" s="29" t="n">
        <v>0</v>
      </c>
      <c r="S69" s="27" t="s">
        <v>55</v>
      </c>
      <c r="T69" s="27"/>
    </row>
    <row r="70" customFormat="false" ht="15" hidden="false" customHeight="false" outlineLevel="0" collapsed="false">
      <c r="A70" s="24" t="s">
        <v>111</v>
      </c>
      <c r="B70" s="24" t="s">
        <v>64</v>
      </c>
      <c r="C70" s="24" t="s">
        <v>53</v>
      </c>
      <c r="D70" s="24" t="s">
        <v>54</v>
      </c>
      <c r="E70" s="24" t="s">
        <v>48</v>
      </c>
      <c r="F70" s="25" t="n">
        <v>3</v>
      </c>
      <c r="G70" s="25" t="n">
        <v>0</v>
      </c>
      <c r="H70" s="26" t="n">
        <v>0</v>
      </c>
      <c r="I70" s="25" t="n">
        <v>0</v>
      </c>
      <c r="J70" s="26" t="n">
        <v>0</v>
      </c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5" t="n">
        <v>0</v>
      </c>
      <c r="R70" s="26" t="n">
        <v>0</v>
      </c>
      <c r="S70" s="24" t="s">
        <v>55</v>
      </c>
      <c r="T70" s="24"/>
    </row>
    <row r="71" customFormat="false" ht="15" hidden="false" customHeight="false" outlineLevel="0" collapsed="false">
      <c r="A71" s="27" t="s">
        <v>111</v>
      </c>
      <c r="B71" s="27" t="s">
        <v>64</v>
      </c>
      <c r="C71" s="27" t="s">
        <v>56</v>
      </c>
      <c r="D71" s="27" t="s">
        <v>57</v>
      </c>
      <c r="E71" s="27" t="s">
        <v>48</v>
      </c>
      <c r="F71" s="28" t="n">
        <v>741</v>
      </c>
      <c r="G71" s="28" t="n">
        <v>0</v>
      </c>
      <c r="H71" s="29" t="n">
        <v>0</v>
      </c>
      <c r="I71" s="28" t="n">
        <v>0</v>
      </c>
      <c r="J71" s="29" t="n">
        <v>0</v>
      </c>
      <c r="K71" s="29" t="n">
        <v>0</v>
      </c>
      <c r="L71" s="29" t="n">
        <v>0</v>
      </c>
      <c r="M71" s="29" t="n">
        <v>0</v>
      </c>
      <c r="N71" s="29" t="n">
        <v>0</v>
      </c>
      <c r="O71" s="29" t="n">
        <v>0</v>
      </c>
      <c r="P71" s="29" t="n">
        <v>0</v>
      </c>
      <c r="Q71" s="28" t="n">
        <v>0</v>
      </c>
      <c r="R71" s="29" t="n">
        <v>0</v>
      </c>
      <c r="S71" s="27" t="s">
        <v>55</v>
      </c>
      <c r="T71" s="27"/>
    </row>
    <row r="72" customFormat="false" ht="15" hidden="false" customHeight="false" outlineLevel="0" collapsed="false">
      <c r="A72" s="24" t="s">
        <v>112</v>
      </c>
      <c r="B72" s="24" t="s">
        <v>64</v>
      </c>
      <c r="C72" s="24" t="s">
        <v>56</v>
      </c>
      <c r="D72" s="24" t="s">
        <v>57</v>
      </c>
      <c r="E72" s="24" t="s">
        <v>48</v>
      </c>
      <c r="F72" s="25" t="n">
        <v>130</v>
      </c>
      <c r="G72" s="25" t="n">
        <v>2</v>
      </c>
      <c r="H72" s="26" t="n">
        <v>0</v>
      </c>
      <c r="I72" s="25" t="n">
        <v>0</v>
      </c>
      <c r="J72" s="26" t="n">
        <v>0</v>
      </c>
      <c r="K72" s="26" t="n">
        <v>0</v>
      </c>
      <c r="L72" s="26" t="n">
        <v>0</v>
      </c>
      <c r="M72" s="26" t="n">
        <v>0</v>
      </c>
      <c r="N72" s="26" t="n">
        <v>0</v>
      </c>
      <c r="O72" s="26" t="n">
        <v>0</v>
      </c>
      <c r="P72" s="26" t="n">
        <v>0</v>
      </c>
      <c r="Q72" s="25" t="n">
        <v>0</v>
      </c>
      <c r="R72" s="26" t="n">
        <v>0</v>
      </c>
      <c r="S72" s="24" t="s">
        <v>55</v>
      </c>
      <c r="T72" s="24"/>
    </row>
    <row r="73" customFormat="false" ht="15" hidden="false" customHeight="false" outlineLevel="0" collapsed="false">
      <c r="A73" s="27" t="s">
        <v>113</v>
      </c>
      <c r="B73" s="27" t="s">
        <v>64</v>
      </c>
      <c r="C73" s="27" t="s">
        <v>56</v>
      </c>
      <c r="D73" s="27" t="s">
        <v>57</v>
      </c>
      <c r="E73" s="27" t="s">
        <v>48</v>
      </c>
      <c r="F73" s="28" t="n">
        <v>176</v>
      </c>
      <c r="G73" s="28" t="n">
        <v>3</v>
      </c>
      <c r="H73" s="29" t="n">
        <v>1.93</v>
      </c>
      <c r="I73" s="28" t="n">
        <v>1</v>
      </c>
      <c r="J73" s="29" t="n">
        <v>1.93</v>
      </c>
      <c r="K73" s="29" t="n">
        <v>0</v>
      </c>
      <c r="L73" s="29" t="n">
        <v>0</v>
      </c>
      <c r="M73" s="29" t="n">
        <v>0</v>
      </c>
      <c r="N73" s="29" t="n">
        <v>0</v>
      </c>
      <c r="O73" s="29" t="n">
        <v>0</v>
      </c>
      <c r="P73" s="29" t="n">
        <v>0</v>
      </c>
      <c r="Q73" s="28" t="n">
        <v>0</v>
      </c>
      <c r="R73" s="29" t="n">
        <v>0</v>
      </c>
      <c r="S73" s="27" t="s">
        <v>55</v>
      </c>
      <c r="T73" s="27"/>
    </row>
    <row r="74" customFormat="false" ht="15" hidden="false" customHeight="false" outlineLevel="0" collapsed="false">
      <c r="A74" s="24" t="s">
        <v>114</v>
      </c>
      <c r="B74" s="24" t="s">
        <v>64</v>
      </c>
      <c r="C74" s="24" t="s">
        <v>53</v>
      </c>
      <c r="D74" s="24" t="s">
        <v>54</v>
      </c>
      <c r="E74" s="24" t="s">
        <v>48</v>
      </c>
      <c r="F74" s="25" t="n">
        <v>41</v>
      </c>
      <c r="G74" s="25" t="n">
        <v>3</v>
      </c>
      <c r="H74" s="26" t="n">
        <v>3.88</v>
      </c>
      <c r="I74" s="25" t="n">
        <v>2</v>
      </c>
      <c r="J74" s="26" t="n">
        <v>9.71</v>
      </c>
      <c r="K74" s="26" t="n">
        <v>0</v>
      </c>
      <c r="L74" s="26" t="n">
        <v>0</v>
      </c>
      <c r="M74" s="26" t="n">
        <v>0</v>
      </c>
      <c r="N74" s="26" t="n">
        <v>9.71</v>
      </c>
      <c r="O74" s="26" t="n">
        <v>9.71</v>
      </c>
      <c r="P74" s="26" t="n">
        <v>7.19</v>
      </c>
      <c r="Q74" s="25" t="n">
        <v>1</v>
      </c>
      <c r="R74" s="26" t="n">
        <v>0</v>
      </c>
      <c r="S74" s="24" t="s">
        <v>55</v>
      </c>
      <c r="T74" s="24"/>
    </row>
    <row r="75" customFormat="false" ht="15" hidden="false" customHeight="false" outlineLevel="0" collapsed="false">
      <c r="A75" s="27" t="s">
        <v>115</v>
      </c>
      <c r="B75" s="27" t="s">
        <v>64</v>
      </c>
      <c r="C75" s="27" t="s">
        <v>56</v>
      </c>
      <c r="D75" s="27" t="s">
        <v>57</v>
      </c>
      <c r="E75" s="27" t="s">
        <v>48</v>
      </c>
      <c r="F75" s="28" t="n">
        <v>1964</v>
      </c>
      <c r="G75" s="28" t="n">
        <v>220</v>
      </c>
      <c r="H75" s="29" t="n">
        <v>298.12</v>
      </c>
      <c r="I75" s="28" t="n">
        <v>106</v>
      </c>
      <c r="J75" s="29" t="n">
        <v>406.5</v>
      </c>
      <c r="K75" s="29" t="n">
        <v>184.01</v>
      </c>
      <c r="L75" s="29" t="n">
        <v>887.22</v>
      </c>
      <c r="M75" s="29" t="n">
        <v>900.57</v>
      </c>
      <c r="N75" s="29" t="n">
        <v>491.76</v>
      </c>
      <c r="O75" s="29" t="n">
        <v>219.05</v>
      </c>
      <c r="P75" s="29" t="n">
        <v>124.86</v>
      </c>
      <c r="Q75" s="28" t="n">
        <v>19</v>
      </c>
      <c r="R75" s="29" t="n">
        <v>0</v>
      </c>
      <c r="S75" s="27" t="s">
        <v>55</v>
      </c>
      <c r="T75" s="27"/>
    </row>
    <row r="76" customFormat="false" ht="15" hidden="false" customHeight="false" outlineLevel="0" collapsed="false">
      <c r="A76" s="24" t="s">
        <v>116</v>
      </c>
      <c r="B76" s="24" t="s">
        <v>64</v>
      </c>
      <c r="C76" s="24" t="s">
        <v>53</v>
      </c>
      <c r="D76" s="24" t="s">
        <v>54</v>
      </c>
      <c r="E76" s="24" t="s">
        <v>48</v>
      </c>
      <c r="F76" s="25" t="n">
        <v>214</v>
      </c>
      <c r="G76" s="25" t="n">
        <v>60</v>
      </c>
      <c r="H76" s="26" t="n">
        <v>340.52</v>
      </c>
      <c r="I76" s="25" t="n">
        <v>43</v>
      </c>
      <c r="J76" s="26" t="n">
        <v>683.36</v>
      </c>
      <c r="K76" s="26" t="n">
        <v>357.93</v>
      </c>
      <c r="L76" s="26" t="n">
        <v>172</v>
      </c>
      <c r="M76" s="26" t="n">
        <v>155.81</v>
      </c>
      <c r="N76" s="26" t="n">
        <v>361.95</v>
      </c>
      <c r="O76" s="26" t="n">
        <v>232.2</v>
      </c>
      <c r="P76" s="26" t="n">
        <v>155.31</v>
      </c>
      <c r="Q76" s="25" t="n">
        <v>42</v>
      </c>
      <c r="R76" s="26" t="n">
        <v>0</v>
      </c>
      <c r="S76" s="24" t="s">
        <v>55</v>
      </c>
      <c r="T76" s="24"/>
    </row>
    <row r="77" customFormat="false" ht="15" hidden="false" customHeight="false" outlineLevel="0" collapsed="false">
      <c r="A77" s="27" t="s">
        <v>116</v>
      </c>
      <c r="B77" s="27" t="s">
        <v>64</v>
      </c>
      <c r="C77" s="27" t="s">
        <v>56</v>
      </c>
      <c r="D77" s="27" t="s">
        <v>57</v>
      </c>
      <c r="E77" s="27" t="s">
        <v>48</v>
      </c>
      <c r="F77" s="28" t="n">
        <v>175</v>
      </c>
      <c r="G77" s="28" t="n">
        <v>1</v>
      </c>
      <c r="H77" s="29" t="n">
        <v>6.79</v>
      </c>
      <c r="I77" s="28" t="n">
        <v>1</v>
      </c>
      <c r="J77" s="29" t="n">
        <v>6.79</v>
      </c>
      <c r="K77" s="29" t="n">
        <v>0</v>
      </c>
      <c r="L77" s="29" t="n">
        <v>0</v>
      </c>
      <c r="M77" s="29" t="n">
        <v>0</v>
      </c>
      <c r="N77" s="29" t="n">
        <v>6.79</v>
      </c>
      <c r="O77" s="29" t="n">
        <v>6.79</v>
      </c>
      <c r="P77" s="29" t="n">
        <v>5.02</v>
      </c>
      <c r="Q77" s="28" t="n">
        <v>1</v>
      </c>
      <c r="R77" s="29" t="n">
        <v>0</v>
      </c>
      <c r="S77" s="27" t="s">
        <v>55</v>
      </c>
      <c r="T77" s="27"/>
    </row>
    <row r="78" customFormat="false" ht="15" hidden="false" customHeight="false" outlineLevel="0" collapsed="false">
      <c r="A78" s="24" t="s">
        <v>117</v>
      </c>
      <c r="B78" s="24" t="s">
        <v>64</v>
      </c>
      <c r="C78" s="24" t="s">
        <v>53</v>
      </c>
      <c r="D78" s="24" t="s">
        <v>54</v>
      </c>
      <c r="E78" s="24" t="s">
        <v>48</v>
      </c>
      <c r="F78" s="25" t="n">
        <v>151</v>
      </c>
      <c r="G78" s="25" t="n">
        <v>41</v>
      </c>
      <c r="H78" s="26" t="n">
        <v>280.65</v>
      </c>
      <c r="I78" s="25" t="n">
        <v>34</v>
      </c>
      <c r="J78" s="26" t="n">
        <v>455.3</v>
      </c>
      <c r="K78" s="26" t="n">
        <v>139.13</v>
      </c>
      <c r="L78" s="26" t="n">
        <v>33.84</v>
      </c>
      <c r="M78" s="26" t="n">
        <v>57.28</v>
      </c>
      <c r="N78" s="26" t="n">
        <v>525.37</v>
      </c>
      <c r="O78" s="26" t="n">
        <v>247.41</v>
      </c>
      <c r="P78" s="26" t="n">
        <v>140.32</v>
      </c>
      <c r="Q78" s="25" t="n">
        <v>34</v>
      </c>
      <c r="R78" s="26" t="n">
        <v>0</v>
      </c>
      <c r="S78" s="24" t="s">
        <v>55</v>
      </c>
      <c r="T78" s="24"/>
    </row>
    <row r="79" customFormat="false" ht="15" hidden="false" customHeight="false" outlineLevel="0" collapsed="false">
      <c r="A79" s="27" t="s">
        <v>117</v>
      </c>
      <c r="B79" s="27" t="s">
        <v>64</v>
      </c>
      <c r="C79" s="27" t="s">
        <v>118</v>
      </c>
      <c r="D79" s="27" t="s">
        <v>119</v>
      </c>
      <c r="E79" s="27" t="s">
        <v>48</v>
      </c>
      <c r="F79" s="28" t="n">
        <v>1</v>
      </c>
      <c r="G79" s="28" t="n">
        <v>0</v>
      </c>
      <c r="H79" s="29" t="n">
        <v>0</v>
      </c>
      <c r="I79" s="28" t="n">
        <v>0</v>
      </c>
      <c r="J79" s="29" t="n">
        <v>0</v>
      </c>
      <c r="K79" s="29" t="n">
        <v>0</v>
      </c>
      <c r="L79" s="29" t="n">
        <v>0</v>
      </c>
      <c r="M79" s="29" t="n">
        <v>0</v>
      </c>
      <c r="N79" s="29" t="n">
        <v>0</v>
      </c>
      <c r="O79" s="29" t="n">
        <v>0</v>
      </c>
      <c r="P79" s="29" t="n">
        <v>0</v>
      </c>
      <c r="Q79" s="28" t="n">
        <v>0</v>
      </c>
      <c r="R79" s="29" t="n">
        <v>0</v>
      </c>
      <c r="S79" s="27" t="s">
        <v>55</v>
      </c>
      <c r="T79" s="27"/>
    </row>
    <row r="80" customFormat="false" ht="15" hidden="false" customHeight="false" outlineLevel="0" collapsed="false">
      <c r="A80" s="24" t="s">
        <v>117</v>
      </c>
      <c r="B80" s="24" t="s">
        <v>64</v>
      </c>
      <c r="C80" s="24" t="s">
        <v>56</v>
      </c>
      <c r="D80" s="24" t="s">
        <v>57</v>
      </c>
      <c r="E80" s="24" t="s">
        <v>48</v>
      </c>
      <c r="F80" s="25" t="n">
        <v>158</v>
      </c>
      <c r="G80" s="25" t="n">
        <v>0</v>
      </c>
      <c r="H80" s="26" t="n">
        <v>0</v>
      </c>
      <c r="I80" s="25" t="n">
        <v>0</v>
      </c>
      <c r="J80" s="26" t="n">
        <v>0</v>
      </c>
      <c r="K80" s="26" t="n">
        <v>0</v>
      </c>
      <c r="L80" s="26" t="n">
        <v>0</v>
      </c>
      <c r="M80" s="26" t="n">
        <v>0</v>
      </c>
      <c r="N80" s="26" t="n">
        <v>0</v>
      </c>
      <c r="O80" s="26" t="n">
        <v>0</v>
      </c>
      <c r="P80" s="26" t="n">
        <v>0</v>
      </c>
      <c r="Q80" s="25" t="n">
        <v>0</v>
      </c>
      <c r="R80" s="26" t="n">
        <v>0</v>
      </c>
      <c r="S80" s="24" t="s">
        <v>55</v>
      </c>
      <c r="T80" s="24"/>
    </row>
    <row r="81" customFormat="false" ht="15" hidden="false" customHeight="false" outlineLevel="0" collapsed="false">
      <c r="A81" s="27" t="s">
        <v>120</v>
      </c>
      <c r="B81" s="27" t="s">
        <v>64</v>
      </c>
      <c r="C81" s="27" t="s">
        <v>53</v>
      </c>
      <c r="D81" s="27" t="s">
        <v>54</v>
      </c>
      <c r="E81" s="27" t="s">
        <v>48</v>
      </c>
      <c r="F81" s="28" t="n">
        <v>391</v>
      </c>
      <c r="G81" s="28" t="n">
        <v>91</v>
      </c>
      <c r="H81" s="29" t="n">
        <v>563.22</v>
      </c>
      <c r="I81" s="28" t="n">
        <v>83</v>
      </c>
      <c r="J81" s="29" t="n">
        <v>741.83</v>
      </c>
      <c r="K81" s="29" t="n">
        <v>477.23</v>
      </c>
      <c r="L81" s="29" t="n">
        <v>283.66</v>
      </c>
      <c r="M81" s="29" t="n">
        <v>240.09</v>
      </c>
      <c r="N81" s="29" t="n">
        <v>780.23</v>
      </c>
      <c r="O81" s="29" t="n">
        <v>132.68</v>
      </c>
      <c r="P81" s="29" t="n">
        <v>2.75</v>
      </c>
      <c r="Q81" s="28" t="n">
        <v>82</v>
      </c>
      <c r="R81" s="29" t="n">
        <v>0</v>
      </c>
      <c r="S81" s="27" t="s">
        <v>55</v>
      </c>
      <c r="T81" s="27"/>
    </row>
    <row r="82" customFormat="false" ht="15" hidden="false" customHeight="false" outlineLevel="0" collapsed="false">
      <c r="A82" s="24" t="s">
        <v>120</v>
      </c>
      <c r="B82" s="24" t="s">
        <v>64</v>
      </c>
      <c r="C82" s="24" t="s">
        <v>118</v>
      </c>
      <c r="D82" s="24" t="s">
        <v>119</v>
      </c>
      <c r="E82" s="24" t="s">
        <v>48</v>
      </c>
      <c r="F82" s="25" t="n">
        <v>1</v>
      </c>
      <c r="G82" s="25" t="n">
        <v>0</v>
      </c>
      <c r="H82" s="26" t="n">
        <v>0</v>
      </c>
      <c r="I82" s="25" t="n">
        <v>0</v>
      </c>
      <c r="J82" s="26" t="n">
        <v>0</v>
      </c>
      <c r="K82" s="26" t="n">
        <v>0</v>
      </c>
      <c r="L82" s="26" t="n">
        <v>0</v>
      </c>
      <c r="M82" s="26" t="n">
        <v>0</v>
      </c>
      <c r="N82" s="26" t="n">
        <v>0</v>
      </c>
      <c r="O82" s="26" t="n">
        <v>0</v>
      </c>
      <c r="P82" s="26" t="n">
        <v>0</v>
      </c>
      <c r="Q82" s="25" t="n">
        <v>0</v>
      </c>
      <c r="R82" s="26" t="n">
        <v>0</v>
      </c>
      <c r="S82" s="24" t="s">
        <v>55</v>
      </c>
      <c r="T82" s="24"/>
    </row>
    <row r="83" customFormat="false" ht="15" hidden="false" customHeight="false" outlineLevel="0" collapsed="false">
      <c r="A83" s="27" t="s">
        <v>120</v>
      </c>
      <c r="B83" s="27" t="s">
        <v>64</v>
      </c>
      <c r="C83" s="27" t="s">
        <v>56</v>
      </c>
      <c r="D83" s="27" t="s">
        <v>57</v>
      </c>
      <c r="E83" s="27" t="s">
        <v>48</v>
      </c>
      <c r="F83" s="28" t="n">
        <v>205</v>
      </c>
      <c r="G83" s="28" t="n">
        <v>4</v>
      </c>
      <c r="H83" s="29" t="n">
        <v>25.23</v>
      </c>
      <c r="I83" s="28" t="n">
        <v>4</v>
      </c>
      <c r="J83" s="29" t="n">
        <v>27.17</v>
      </c>
      <c r="K83" s="29" t="n">
        <v>5.81</v>
      </c>
      <c r="L83" s="29" t="n">
        <v>3.3</v>
      </c>
      <c r="M83" s="29" t="n">
        <v>1.39</v>
      </c>
      <c r="N83" s="29" t="n">
        <v>23.3</v>
      </c>
      <c r="O83" s="29" t="n">
        <v>21.31</v>
      </c>
      <c r="P83" s="29" t="n">
        <v>15.78</v>
      </c>
      <c r="Q83" s="28" t="n">
        <v>4</v>
      </c>
      <c r="R83" s="29" t="n">
        <v>0</v>
      </c>
      <c r="S83" s="27" t="s">
        <v>55</v>
      </c>
      <c r="T83" s="27"/>
    </row>
    <row r="84" customFormat="false" ht="15" hidden="false" customHeight="false" outlineLevel="0" collapsed="false">
      <c r="A84" s="24" t="s">
        <v>121</v>
      </c>
      <c r="B84" s="24" t="s">
        <v>64</v>
      </c>
      <c r="C84" s="24" t="s">
        <v>53</v>
      </c>
      <c r="D84" s="24" t="s">
        <v>54</v>
      </c>
      <c r="E84" s="24" t="s">
        <v>48</v>
      </c>
      <c r="F84" s="25" t="n">
        <v>40</v>
      </c>
      <c r="G84" s="25" t="n">
        <v>8</v>
      </c>
      <c r="H84" s="26" t="n">
        <v>38.86</v>
      </c>
      <c r="I84" s="25" t="n">
        <v>6</v>
      </c>
      <c r="J84" s="26" t="n">
        <v>38.86</v>
      </c>
      <c r="K84" s="26" t="n">
        <v>23.1</v>
      </c>
      <c r="L84" s="26" t="n">
        <v>0</v>
      </c>
      <c r="M84" s="26" t="n">
        <v>0</v>
      </c>
      <c r="N84" s="26" t="n">
        <v>93.61</v>
      </c>
      <c r="O84" s="26" t="n">
        <v>5.86</v>
      </c>
      <c r="P84" s="26" t="n">
        <v>-5.88</v>
      </c>
      <c r="Q84" s="25" t="n">
        <v>6</v>
      </c>
      <c r="R84" s="26" t="n">
        <v>0</v>
      </c>
      <c r="S84" s="24" t="s">
        <v>55</v>
      </c>
      <c r="T84" s="24"/>
    </row>
    <row r="85" customFormat="false" ht="15" hidden="false" customHeight="false" outlineLevel="0" collapsed="false">
      <c r="A85" s="27" t="s">
        <v>121</v>
      </c>
      <c r="B85" s="27" t="s">
        <v>64</v>
      </c>
      <c r="C85" s="27" t="s">
        <v>118</v>
      </c>
      <c r="D85" s="27" t="s">
        <v>119</v>
      </c>
      <c r="E85" s="27" t="s">
        <v>48</v>
      </c>
      <c r="F85" s="28" t="n">
        <v>5</v>
      </c>
      <c r="G85" s="28" t="n">
        <v>2</v>
      </c>
      <c r="H85" s="29" t="n">
        <v>19.32</v>
      </c>
      <c r="I85" s="28" t="n">
        <v>2</v>
      </c>
      <c r="J85" s="29" t="n">
        <v>19.32</v>
      </c>
      <c r="K85" s="29" t="n">
        <v>0</v>
      </c>
      <c r="L85" s="29" t="n">
        <v>5.5</v>
      </c>
      <c r="M85" s="29" t="n">
        <v>1.66</v>
      </c>
      <c r="N85" s="29" t="n">
        <v>15.45</v>
      </c>
      <c r="O85" s="29" t="n">
        <v>19.3</v>
      </c>
      <c r="P85" s="29" t="n">
        <v>14.28</v>
      </c>
      <c r="Q85" s="28" t="n">
        <v>2</v>
      </c>
      <c r="R85" s="29" t="n">
        <v>0</v>
      </c>
      <c r="S85" s="27" t="s">
        <v>55</v>
      </c>
      <c r="T85" s="27"/>
    </row>
    <row r="86" customFormat="false" ht="15" hidden="false" customHeight="false" outlineLevel="0" collapsed="false">
      <c r="A86" s="24" t="s">
        <v>121</v>
      </c>
      <c r="B86" s="24" t="s">
        <v>64</v>
      </c>
      <c r="C86" s="24" t="s">
        <v>56</v>
      </c>
      <c r="D86" s="24" t="s">
        <v>57</v>
      </c>
      <c r="E86" s="24" t="s">
        <v>48</v>
      </c>
      <c r="F86" s="25" t="n">
        <v>192</v>
      </c>
      <c r="G86" s="25" t="n">
        <v>4</v>
      </c>
      <c r="H86" s="26" t="n">
        <v>19</v>
      </c>
      <c r="I86" s="25" t="n">
        <v>3</v>
      </c>
      <c r="J86" s="26" t="n">
        <v>20.93</v>
      </c>
      <c r="K86" s="26" t="n">
        <v>9.7</v>
      </c>
      <c r="L86" s="26" t="n">
        <v>3.98</v>
      </c>
      <c r="M86" s="26" t="n">
        <v>3.06</v>
      </c>
      <c r="N86" s="26" t="n">
        <v>27.86</v>
      </c>
      <c r="O86" s="26" t="n">
        <v>5.4</v>
      </c>
      <c r="P86" s="26" t="n">
        <v>-0.94</v>
      </c>
      <c r="Q86" s="25" t="n">
        <v>3</v>
      </c>
      <c r="R86" s="26" t="n">
        <v>0</v>
      </c>
      <c r="S86" s="24" t="s">
        <v>55</v>
      </c>
      <c r="T86" s="24"/>
    </row>
    <row r="87" customFormat="false" ht="15" hidden="false" customHeight="false" outlineLevel="0" collapsed="false">
      <c r="A87" s="27" t="s">
        <v>122</v>
      </c>
      <c r="B87" s="27" t="s">
        <v>64</v>
      </c>
      <c r="C87" s="27" t="s">
        <v>56</v>
      </c>
      <c r="D87" s="27" t="s">
        <v>57</v>
      </c>
      <c r="E87" s="27" t="s">
        <v>48</v>
      </c>
      <c r="F87" s="28" t="n">
        <v>2</v>
      </c>
      <c r="G87" s="28" t="n">
        <v>1</v>
      </c>
      <c r="H87" s="29" t="n">
        <v>9.57</v>
      </c>
      <c r="I87" s="28" t="n">
        <v>1</v>
      </c>
      <c r="J87" s="29" t="n">
        <v>9.57</v>
      </c>
      <c r="K87" s="29" t="n">
        <v>0</v>
      </c>
      <c r="L87" s="29" t="n">
        <v>5.74</v>
      </c>
      <c r="M87" s="29" t="n">
        <v>0</v>
      </c>
      <c r="N87" s="29" t="n">
        <v>3.82</v>
      </c>
      <c r="O87" s="29" t="n">
        <v>9.57</v>
      </c>
      <c r="P87" s="29" t="n">
        <v>7.07</v>
      </c>
      <c r="Q87" s="28" t="n">
        <v>1</v>
      </c>
      <c r="R87" s="29" t="n">
        <v>0</v>
      </c>
      <c r="S87" s="27" t="s">
        <v>55</v>
      </c>
      <c r="T87" s="27"/>
    </row>
    <row r="88" customFormat="false" ht="15" hidden="false" customHeight="false" outlineLevel="0" collapsed="false">
      <c r="A88" s="24" t="s">
        <v>123</v>
      </c>
      <c r="B88" s="24" t="s">
        <v>64</v>
      </c>
      <c r="C88" s="24" t="s">
        <v>53</v>
      </c>
      <c r="D88" s="24" t="s">
        <v>54</v>
      </c>
      <c r="E88" s="24" t="s">
        <v>48</v>
      </c>
      <c r="F88" s="25" t="n">
        <v>3</v>
      </c>
      <c r="G88" s="25" t="n">
        <v>0</v>
      </c>
      <c r="H88" s="26" t="n">
        <v>0</v>
      </c>
      <c r="I88" s="25" t="n">
        <v>0</v>
      </c>
      <c r="J88" s="26" t="n">
        <v>0</v>
      </c>
      <c r="K88" s="26" t="n">
        <v>0</v>
      </c>
      <c r="L88" s="26" t="n">
        <v>0</v>
      </c>
      <c r="M88" s="26" t="n">
        <v>0</v>
      </c>
      <c r="N88" s="26" t="n">
        <v>0</v>
      </c>
      <c r="O88" s="26" t="n">
        <v>0</v>
      </c>
      <c r="P88" s="26" t="n">
        <v>0</v>
      </c>
      <c r="Q88" s="25" t="n">
        <v>0</v>
      </c>
      <c r="R88" s="26" t="n">
        <v>0</v>
      </c>
      <c r="S88" s="24" t="s">
        <v>55</v>
      </c>
      <c r="T88" s="24"/>
    </row>
    <row r="89" customFormat="false" ht="15" hidden="false" customHeight="false" outlineLevel="0" collapsed="false">
      <c r="A89" s="27" t="s">
        <v>124</v>
      </c>
      <c r="B89" s="27" t="s">
        <v>64</v>
      </c>
      <c r="C89" s="27" t="s">
        <v>53</v>
      </c>
      <c r="D89" s="27" t="s">
        <v>54</v>
      </c>
      <c r="E89" s="27" t="s">
        <v>48</v>
      </c>
      <c r="F89" s="28" t="n">
        <v>10</v>
      </c>
      <c r="G89" s="28" t="n">
        <v>0</v>
      </c>
      <c r="H89" s="29" t="n">
        <v>0</v>
      </c>
      <c r="I89" s="28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29" t="n">
        <v>0</v>
      </c>
      <c r="Q89" s="28" t="n">
        <v>0</v>
      </c>
      <c r="R89" s="29" t="n">
        <v>0</v>
      </c>
      <c r="S89" s="27" t="s">
        <v>55</v>
      </c>
      <c r="T89" s="27"/>
    </row>
    <row r="90" customFormat="false" ht="15" hidden="false" customHeight="false" outlineLevel="0" collapsed="false">
      <c r="A90" s="20" t="s">
        <v>124</v>
      </c>
      <c r="B90" s="20" t="s">
        <v>64</v>
      </c>
      <c r="C90" s="20" t="s">
        <v>125</v>
      </c>
      <c r="D90" s="20" t="s">
        <v>126</v>
      </c>
      <c r="E90" s="20" t="s">
        <v>48</v>
      </c>
      <c r="F90" s="21" t="n">
        <v>1</v>
      </c>
      <c r="G90" s="21" t="n">
        <v>0</v>
      </c>
      <c r="H90" s="22" t="n">
        <v>0</v>
      </c>
      <c r="I90" s="21" t="n">
        <v>0</v>
      </c>
      <c r="J90" s="22" t="n">
        <v>0</v>
      </c>
      <c r="K90" s="22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1" t="n">
        <v>0</v>
      </c>
      <c r="R90" s="22" t="n">
        <v>0</v>
      </c>
      <c r="S90" s="23" t="s">
        <v>49</v>
      </c>
      <c r="T90" s="20" t="s">
        <v>127</v>
      </c>
    </row>
    <row r="91" customFormat="false" ht="15" hidden="false" customHeight="false" outlineLevel="0" collapsed="false">
      <c r="A91" s="27" t="s">
        <v>124</v>
      </c>
      <c r="B91" s="27" t="s">
        <v>64</v>
      </c>
      <c r="C91" s="27" t="s">
        <v>118</v>
      </c>
      <c r="D91" s="27" t="s">
        <v>119</v>
      </c>
      <c r="E91" s="27" t="s">
        <v>48</v>
      </c>
      <c r="F91" s="28" t="n">
        <v>14</v>
      </c>
      <c r="G91" s="28" t="n">
        <v>0</v>
      </c>
      <c r="H91" s="29" t="n">
        <v>0</v>
      </c>
      <c r="I91" s="28" t="n">
        <v>0</v>
      </c>
      <c r="J91" s="29" t="n">
        <v>0</v>
      </c>
      <c r="K91" s="29" t="n">
        <v>0</v>
      </c>
      <c r="L91" s="29" t="n">
        <v>0</v>
      </c>
      <c r="M91" s="29" t="n">
        <v>0</v>
      </c>
      <c r="N91" s="29" t="n">
        <v>0</v>
      </c>
      <c r="O91" s="29" t="n">
        <v>0</v>
      </c>
      <c r="P91" s="29" t="n">
        <v>0</v>
      </c>
      <c r="Q91" s="28" t="n">
        <v>0</v>
      </c>
      <c r="R91" s="29" t="n">
        <v>0</v>
      </c>
      <c r="S91" s="27" t="s">
        <v>55</v>
      </c>
      <c r="T91" s="27"/>
    </row>
    <row r="92" customFormat="false" ht="15" hidden="false" customHeight="false" outlineLevel="0" collapsed="false">
      <c r="A92" s="24" t="s">
        <v>124</v>
      </c>
      <c r="B92" s="24" t="s">
        <v>64</v>
      </c>
      <c r="C92" s="24" t="s">
        <v>56</v>
      </c>
      <c r="D92" s="24" t="s">
        <v>57</v>
      </c>
      <c r="E92" s="24" t="s">
        <v>48</v>
      </c>
      <c r="F92" s="25" t="n">
        <v>8</v>
      </c>
      <c r="G92" s="25" t="n">
        <v>0</v>
      </c>
      <c r="H92" s="26" t="n">
        <v>0</v>
      </c>
      <c r="I92" s="25" t="n">
        <v>0</v>
      </c>
      <c r="J92" s="26" t="n">
        <v>0</v>
      </c>
      <c r="K92" s="26" t="n">
        <v>0</v>
      </c>
      <c r="L92" s="26" t="n">
        <v>0</v>
      </c>
      <c r="M92" s="26" t="n">
        <v>0</v>
      </c>
      <c r="N92" s="26" t="n">
        <v>0</v>
      </c>
      <c r="O92" s="26" t="n">
        <v>0</v>
      </c>
      <c r="P92" s="26" t="n">
        <v>0</v>
      </c>
      <c r="Q92" s="25" t="n">
        <v>0</v>
      </c>
      <c r="R92" s="26" t="n">
        <v>0</v>
      </c>
      <c r="S92" s="24" t="s">
        <v>55</v>
      </c>
      <c r="T92" s="24"/>
    </row>
    <row r="93" customFormat="false" ht="15" hidden="false" customHeight="false" outlineLevel="0" collapsed="false">
      <c r="A93" s="27" t="s">
        <v>128</v>
      </c>
      <c r="B93" s="27" t="s">
        <v>64</v>
      </c>
      <c r="C93" s="27" t="s">
        <v>53</v>
      </c>
      <c r="D93" s="27" t="s">
        <v>54</v>
      </c>
      <c r="E93" s="27" t="s">
        <v>48</v>
      </c>
      <c r="F93" s="28" t="n">
        <v>2127</v>
      </c>
      <c r="G93" s="28" t="n">
        <v>552</v>
      </c>
      <c r="H93" s="29" t="n">
        <v>4142.77</v>
      </c>
      <c r="I93" s="28" t="n">
        <v>415</v>
      </c>
      <c r="J93" s="29" t="n">
        <v>8704.62</v>
      </c>
      <c r="K93" s="29" t="n">
        <v>4304.68</v>
      </c>
      <c r="L93" s="29" t="n">
        <v>776.04</v>
      </c>
      <c r="M93" s="29" t="n">
        <v>728.4</v>
      </c>
      <c r="N93" s="29" t="n">
        <v>15489.19</v>
      </c>
      <c r="O93" s="29" t="n">
        <v>2287.43</v>
      </c>
      <c r="P93" s="29" t="n">
        <v>389.1</v>
      </c>
      <c r="Q93" s="28" t="n">
        <v>212</v>
      </c>
      <c r="R93" s="29" t="n">
        <v>0</v>
      </c>
      <c r="S93" s="27" t="s">
        <v>55</v>
      </c>
      <c r="T93" s="27"/>
    </row>
    <row r="94" customFormat="false" ht="15" hidden="false" customHeight="false" outlineLevel="0" collapsed="false">
      <c r="A94" s="24" t="s">
        <v>128</v>
      </c>
      <c r="B94" s="24" t="s">
        <v>64</v>
      </c>
      <c r="C94" s="24" t="s">
        <v>56</v>
      </c>
      <c r="D94" s="24" t="s">
        <v>57</v>
      </c>
      <c r="E94" s="24" t="s">
        <v>48</v>
      </c>
      <c r="F94" s="25" t="n">
        <v>17</v>
      </c>
      <c r="G94" s="25" t="n">
        <v>0</v>
      </c>
      <c r="H94" s="26" t="n">
        <v>0</v>
      </c>
      <c r="I94" s="25" t="n">
        <v>0</v>
      </c>
      <c r="J94" s="26" t="n">
        <v>0</v>
      </c>
      <c r="K94" s="26" t="n">
        <v>0</v>
      </c>
      <c r="L94" s="26" t="n">
        <v>0</v>
      </c>
      <c r="M94" s="26" t="n">
        <v>0</v>
      </c>
      <c r="N94" s="26" t="n">
        <v>0</v>
      </c>
      <c r="O94" s="26" t="n">
        <v>0</v>
      </c>
      <c r="P94" s="26" t="n">
        <v>0</v>
      </c>
      <c r="Q94" s="25" t="n">
        <v>0</v>
      </c>
      <c r="R94" s="26" t="n">
        <v>0</v>
      </c>
      <c r="S94" s="24" t="s">
        <v>55</v>
      </c>
      <c r="T94" s="24"/>
    </row>
    <row r="95" customFormat="false" ht="15" hidden="false" customHeight="false" outlineLevel="0" collapsed="false">
      <c r="A95" s="27" t="s">
        <v>129</v>
      </c>
      <c r="B95" s="27" t="s">
        <v>64</v>
      </c>
      <c r="C95" s="27" t="s">
        <v>53</v>
      </c>
      <c r="D95" s="27" t="s">
        <v>54</v>
      </c>
      <c r="E95" s="27" t="s">
        <v>48</v>
      </c>
      <c r="F95" s="28" t="n">
        <v>5</v>
      </c>
      <c r="G95" s="28" t="n">
        <v>0</v>
      </c>
      <c r="H95" s="29" t="n">
        <v>0</v>
      </c>
      <c r="I95" s="28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8" t="n">
        <v>0</v>
      </c>
      <c r="R95" s="29" t="n">
        <v>0</v>
      </c>
      <c r="S95" s="27" t="s">
        <v>55</v>
      </c>
      <c r="T95" s="27"/>
    </row>
    <row r="96" customFormat="false" ht="15" hidden="false" customHeight="false" outlineLevel="0" collapsed="false">
      <c r="A96" s="24" t="s">
        <v>130</v>
      </c>
      <c r="B96" s="24" t="s">
        <v>131</v>
      </c>
      <c r="C96" s="24" t="s">
        <v>53</v>
      </c>
      <c r="D96" s="24" t="s">
        <v>54</v>
      </c>
      <c r="E96" s="24" t="s">
        <v>48</v>
      </c>
      <c r="F96" s="25" t="n">
        <v>1</v>
      </c>
      <c r="G96" s="25" t="n">
        <v>0</v>
      </c>
      <c r="H96" s="26" t="n">
        <v>0</v>
      </c>
      <c r="I96" s="25" t="n">
        <v>0</v>
      </c>
      <c r="J96" s="26" t="n">
        <v>0</v>
      </c>
      <c r="K96" s="26" t="n">
        <v>0</v>
      </c>
      <c r="L96" s="26" t="n">
        <v>0</v>
      </c>
      <c r="M96" s="26" t="n">
        <v>0</v>
      </c>
      <c r="N96" s="26" t="n">
        <v>0</v>
      </c>
      <c r="O96" s="26" t="n">
        <v>0</v>
      </c>
      <c r="P96" s="26" t="n">
        <v>0</v>
      </c>
      <c r="Q96" s="25" t="n">
        <v>0</v>
      </c>
      <c r="R96" s="26" t="n">
        <v>0</v>
      </c>
      <c r="S96" s="24" t="s">
        <v>55</v>
      </c>
      <c r="T96" s="24"/>
    </row>
    <row r="97" customFormat="false" ht="15" hidden="false" customHeight="false" outlineLevel="0" collapsed="false">
      <c r="A97" s="27" t="s">
        <v>132</v>
      </c>
      <c r="B97" s="27" t="s">
        <v>133</v>
      </c>
      <c r="C97" s="27" t="s">
        <v>53</v>
      </c>
      <c r="D97" s="27" t="s">
        <v>54</v>
      </c>
      <c r="E97" s="27" t="s">
        <v>48</v>
      </c>
      <c r="F97" s="28" t="n">
        <v>7</v>
      </c>
      <c r="G97" s="28" t="n">
        <v>2</v>
      </c>
      <c r="H97" s="29" t="n">
        <v>6.07</v>
      </c>
      <c r="I97" s="28" t="n">
        <v>1</v>
      </c>
      <c r="J97" s="29" t="n">
        <v>6.07</v>
      </c>
      <c r="K97" s="29" t="n">
        <v>6.03</v>
      </c>
      <c r="L97" s="29" t="n">
        <v>0</v>
      </c>
      <c r="M97" s="29" t="n">
        <v>0</v>
      </c>
      <c r="N97" s="29" t="n">
        <v>0</v>
      </c>
      <c r="O97" s="29" t="n">
        <v>0</v>
      </c>
      <c r="P97" s="29" t="n">
        <v>0</v>
      </c>
      <c r="Q97" s="28" t="n">
        <v>1</v>
      </c>
      <c r="R97" s="29" t="n">
        <v>0</v>
      </c>
      <c r="S97" s="27" t="s">
        <v>55</v>
      </c>
      <c r="T97" s="27"/>
    </row>
    <row r="98" customFormat="false" ht="15" hidden="false" customHeight="false" outlineLevel="0" collapsed="false">
      <c r="A98" s="24" t="s">
        <v>132</v>
      </c>
      <c r="B98" s="24" t="s">
        <v>133</v>
      </c>
      <c r="C98" s="24" t="s">
        <v>56</v>
      </c>
      <c r="D98" s="24" t="s">
        <v>57</v>
      </c>
      <c r="E98" s="24" t="s">
        <v>48</v>
      </c>
      <c r="F98" s="25" t="n">
        <v>597</v>
      </c>
      <c r="G98" s="25" t="n">
        <v>17</v>
      </c>
      <c r="H98" s="26" t="n">
        <v>95.12</v>
      </c>
      <c r="I98" s="25" t="n">
        <v>12</v>
      </c>
      <c r="J98" s="26" t="n">
        <v>430.56</v>
      </c>
      <c r="K98" s="26" t="n">
        <v>104.49</v>
      </c>
      <c r="L98" s="26" t="n">
        <v>57.41</v>
      </c>
      <c r="M98" s="26" t="n">
        <v>27.77</v>
      </c>
      <c r="N98" s="26" t="n">
        <v>737.07</v>
      </c>
      <c r="O98" s="26" t="n">
        <v>245.13</v>
      </c>
      <c r="P98" s="26" t="n">
        <v>161.18</v>
      </c>
      <c r="Q98" s="25" t="n">
        <v>9</v>
      </c>
      <c r="R98" s="26" t="n">
        <v>0</v>
      </c>
      <c r="S98" s="24" t="s">
        <v>55</v>
      </c>
      <c r="T98" s="24"/>
    </row>
    <row r="99" customFormat="false" ht="15" hidden="false" customHeight="false" outlineLevel="0" collapsed="false">
      <c r="A99" s="27" t="s">
        <v>134</v>
      </c>
      <c r="B99" s="27" t="s">
        <v>133</v>
      </c>
      <c r="C99" s="27" t="s">
        <v>53</v>
      </c>
      <c r="D99" s="27" t="s">
        <v>54</v>
      </c>
      <c r="E99" s="27" t="s">
        <v>48</v>
      </c>
      <c r="F99" s="28" t="n">
        <v>2</v>
      </c>
      <c r="G99" s="28" t="n">
        <v>0</v>
      </c>
      <c r="H99" s="29" t="n">
        <v>0</v>
      </c>
      <c r="I99" s="28" t="n">
        <v>0</v>
      </c>
      <c r="J99" s="29" t="n">
        <v>0</v>
      </c>
      <c r="K99" s="29" t="n">
        <v>0</v>
      </c>
      <c r="L99" s="29" t="n">
        <v>0</v>
      </c>
      <c r="M99" s="29" t="n">
        <v>0</v>
      </c>
      <c r="N99" s="29" t="n">
        <v>0</v>
      </c>
      <c r="O99" s="29" t="n">
        <v>0</v>
      </c>
      <c r="P99" s="29" t="n">
        <v>0</v>
      </c>
      <c r="Q99" s="28" t="n">
        <v>0</v>
      </c>
      <c r="R99" s="29" t="n">
        <v>0</v>
      </c>
      <c r="S99" s="27" t="s">
        <v>55</v>
      </c>
      <c r="T99" s="27"/>
    </row>
    <row r="100" customFormat="false" ht="15" hidden="false" customHeight="false" outlineLevel="0" collapsed="false">
      <c r="A100" s="24" t="s">
        <v>134</v>
      </c>
      <c r="B100" s="24" t="s">
        <v>133</v>
      </c>
      <c r="C100" s="24" t="s">
        <v>56</v>
      </c>
      <c r="D100" s="24" t="s">
        <v>57</v>
      </c>
      <c r="E100" s="24" t="s">
        <v>48</v>
      </c>
      <c r="F100" s="25" t="n">
        <v>181</v>
      </c>
      <c r="G100" s="25" t="n">
        <v>0</v>
      </c>
      <c r="H100" s="26" t="n">
        <v>0</v>
      </c>
      <c r="I100" s="25" t="n">
        <v>0</v>
      </c>
      <c r="J100" s="26" t="n">
        <v>0</v>
      </c>
      <c r="K100" s="26" t="n">
        <v>0</v>
      </c>
      <c r="L100" s="26" t="n">
        <v>0</v>
      </c>
      <c r="M100" s="26" t="n">
        <v>0</v>
      </c>
      <c r="N100" s="26" t="n">
        <v>0</v>
      </c>
      <c r="O100" s="26" t="n">
        <v>0</v>
      </c>
      <c r="P100" s="26" t="n">
        <v>0</v>
      </c>
      <c r="Q100" s="25" t="n">
        <v>0</v>
      </c>
      <c r="R100" s="26" t="n">
        <v>0</v>
      </c>
      <c r="S100" s="24" t="s">
        <v>55</v>
      </c>
      <c r="T100" s="24"/>
    </row>
    <row r="101" customFormat="false" ht="15" hidden="false" customHeight="false" outlineLevel="0" collapsed="false">
      <c r="A101" s="27" t="s">
        <v>135</v>
      </c>
      <c r="B101" s="27" t="s">
        <v>133</v>
      </c>
      <c r="C101" s="27" t="s">
        <v>56</v>
      </c>
      <c r="D101" s="27" t="s">
        <v>57</v>
      </c>
      <c r="E101" s="27" t="s">
        <v>48</v>
      </c>
      <c r="F101" s="28" t="n">
        <v>76</v>
      </c>
      <c r="G101" s="28" t="n">
        <v>4</v>
      </c>
      <c r="H101" s="29" t="n">
        <v>0</v>
      </c>
      <c r="I101" s="28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8" t="n">
        <v>0</v>
      </c>
      <c r="R101" s="29" t="n">
        <v>0</v>
      </c>
      <c r="S101" s="27" t="s">
        <v>55</v>
      </c>
      <c r="T101" s="27"/>
    </row>
    <row r="102" customFormat="false" ht="15" hidden="false" customHeight="false" outlineLevel="0" collapsed="false">
      <c r="A102" s="24" t="s">
        <v>136</v>
      </c>
      <c r="B102" s="24" t="s">
        <v>133</v>
      </c>
      <c r="C102" s="24" t="s">
        <v>56</v>
      </c>
      <c r="D102" s="24" t="s">
        <v>57</v>
      </c>
      <c r="E102" s="24" t="s">
        <v>48</v>
      </c>
      <c r="F102" s="25" t="n">
        <v>56</v>
      </c>
      <c r="G102" s="25" t="n">
        <v>2</v>
      </c>
      <c r="H102" s="26" t="n">
        <v>3.88</v>
      </c>
      <c r="I102" s="25" t="n">
        <v>2</v>
      </c>
      <c r="J102" s="26" t="n">
        <v>8.73</v>
      </c>
      <c r="K102" s="26" t="n">
        <v>3.89</v>
      </c>
      <c r="L102" s="26" t="n">
        <v>0</v>
      </c>
      <c r="M102" s="26" t="n">
        <v>0</v>
      </c>
      <c r="N102" s="26" t="n">
        <v>4.83</v>
      </c>
      <c r="O102" s="26" t="n">
        <v>4.83</v>
      </c>
      <c r="P102" s="26" t="n">
        <v>3.58</v>
      </c>
      <c r="Q102" s="25" t="n">
        <v>0</v>
      </c>
      <c r="R102" s="26" t="n">
        <v>0</v>
      </c>
      <c r="S102" s="24" t="s">
        <v>55</v>
      </c>
      <c r="T102" s="24"/>
    </row>
    <row r="103" customFormat="false" ht="15" hidden="false" customHeight="false" outlineLevel="0" collapsed="false">
      <c r="A103" s="27" t="s">
        <v>137</v>
      </c>
      <c r="B103" s="27" t="s">
        <v>133</v>
      </c>
      <c r="C103" s="27" t="s">
        <v>53</v>
      </c>
      <c r="D103" s="27" t="s">
        <v>54</v>
      </c>
      <c r="E103" s="27" t="s">
        <v>48</v>
      </c>
      <c r="F103" s="28" t="n">
        <v>100</v>
      </c>
      <c r="G103" s="28" t="n">
        <v>32</v>
      </c>
      <c r="H103" s="29" t="n">
        <v>76.96</v>
      </c>
      <c r="I103" s="28" t="n">
        <v>14</v>
      </c>
      <c r="J103" s="29" t="n">
        <v>80.84</v>
      </c>
      <c r="K103" s="29" t="n">
        <v>139.62</v>
      </c>
      <c r="L103" s="29" t="n">
        <v>11.41</v>
      </c>
      <c r="M103" s="29" t="n">
        <v>11.01</v>
      </c>
      <c r="N103" s="29" t="n">
        <v>120.43</v>
      </c>
      <c r="O103" s="29" t="n">
        <v>-59.12</v>
      </c>
      <c r="P103" s="29" t="n">
        <v>-64.59</v>
      </c>
      <c r="Q103" s="28" t="n">
        <v>13</v>
      </c>
      <c r="R103" s="29" t="n">
        <v>0</v>
      </c>
      <c r="S103" s="27" t="s">
        <v>55</v>
      </c>
      <c r="T103" s="27"/>
    </row>
    <row r="104" customFormat="false" ht="15" hidden="false" customHeight="false" outlineLevel="0" collapsed="false">
      <c r="A104" s="24" t="s">
        <v>137</v>
      </c>
      <c r="B104" s="24" t="s">
        <v>133</v>
      </c>
      <c r="C104" s="24" t="s">
        <v>56</v>
      </c>
      <c r="D104" s="24" t="s">
        <v>57</v>
      </c>
      <c r="E104" s="24" t="s">
        <v>48</v>
      </c>
      <c r="F104" s="25" t="n">
        <v>61</v>
      </c>
      <c r="G104" s="25" t="n">
        <v>0</v>
      </c>
      <c r="H104" s="26" t="n">
        <v>0</v>
      </c>
      <c r="I104" s="25" t="n">
        <v>0</v>
      </c>
      <c r="J104" s="26" t="n">
        <v>0</v>
      </c>
      <c r="K104" s="26" t="n">
        <v>0</v>
      </c>
      <c r="L104" s="26" t="n">
        <v>0</v>
      </c>
      <c r="M104" s="26" t="n">
        <v>0</v>
      </c>
      <c r="N104" s="26" t="n">
        <v>0</v>
      </c>
      <c r="O104" s="26" t="n">
        <v>0</v>
      </c>
      <c r="P104" s="26" t="n">
        <v>0</v>
      </c>
      <c r="Q104" s="25" t="n">
        <v>0</v>
      </c>
      <c r="R104" s="26" t="n">
        <v>0</v>
      </c>
      <c r="S104" s="24" t="s">
        <v>55</v>
      </c>
      <c r="T104" s="24"/>
    </row>
    <row r="105" customFormat="false" ht="15" hidden="false" customHeight="false" outlineLevel="0" collapsed="false">
      <c r="A105" s="27" t="s">
        <v>138</v>
      </c>
      <c r="B105" s="27" t="s">
        <v>139</v>
      </c>
      <c r="C105" s="27" t="s">
        <v>53</v>
      </c>
      <c r="D105" s="27" t="s">
        <v>54</v>
      </c>
      <c r="E105" s="27" t="s">
        <v>48</v>
      </c>
      <c r="F105" s="28" t="n">
        <v>289</v>
      </c>
      <c r="G105" s="28" t="n">
        <v>69</v>
      </c>
      <c r="H105" s="29" t="n">
        <v>68.51</v>
      </c>
      <c r="I105" s="28" t="n">
        <v>13</v>
      </c>
      <c r="J105" s="29" t="n">
        <v>109.27</v>
      </c>
      <c r="K105" s="29" t="n">
        <v>17.05</v>
      </c>
      <c r="L105" s="29" t="n">
        <v>0.29</v>
      </c>
      <c r="M105" s="29" t="n">
        <v>0.37</v>
      </c>
      <c r="N105" s="29" t="n">
        <v>73.19</v>
      </c>
      <c r="O105" s="29" t="n">
        <v>63.22</v>
      </c>
      <c r="P105" s="29" t="n">
        <v>46.54</v>
      </c>
      <c r="Q105" s="28" t="n">
        <v>4</v>
      </c>
      <c r="R105" s="29" t="n">
        <v>0</v>
      </c>
      <c r="S105" s="27" t="s">
        <v>55</v>
      </c>
      <c r="T105" s="27"/>
    </row>
    <row r="106" customFormat="false" ht="15" hidden="false" customHeight="false" outlineLevel="0" collapsed="false">
      <c r="A106" s="24" t="s">
        <v>138</v>
      </c>
      <c r="B106" s="24" t="s">
        <v>139</v>
      </c>
      <c r="C106" s="24" t="s">
        <v>56</v>
      </c>
      <c r="D106" s="24" t="s">
        <v>57</v>
      </c>
      <c r="E106" s="24" t="s">
        <v>48</v>
      </c>
      <c r="F106" s="25" t="n">
        <v>3711</v>
      </c>
      <c r="G106" s="25" t="n">
        <v>62</v>
      </c>
      <c r="H106" s="26" t="n">
        <v>160</v>
      </c>
      <c r="I106" s="25" t="n">
        <v>32</v>
      </c>
      <c r="J106" s="26" t="n">
        <v>228.93</v>
      </c>
      <c r="K106" s="26" t="n">
        <v>27.29</v>
      </c>
      <c r="L106" s="26" t="n">
        <v>1.16</v>
      </c>
      <c r="M106" s="26" t="n">
        <v>0.05</v>
      </c>
      <c r="N106" s="26" t="n">
        <v>209.21</v>
      </c>
      <c r="O106" s="26" t="n">
        <v>170.2</v>
      </c>
      <c r="P106" s="26" t="n">
        <v>122.48</v>
      </c>
      <c r="Q106" s="25" t="n">
        <v>13</v>
      </c>
      <c r="R106" s="26" t="n">
        <v>0</v>
      </c>
      <c r="S106" s="24" t="s">
        <v>55</v>
      </c>
      <c r="T106" s="24"/>
    </row>
    <row r="107" customFormat="false" ht="15" hidden="false" customHeight="false" outlineLevel="0" collapsed="false">
      <c r="A107" s="27" t="s">
        <v>140</v>
      </c>
      <c r="B107" s="27" t="s">
        <v>139</v>
      </c>
      <c r="C107" s="27" t="s">
        <v>56</v>
      </c>
      <c r="D107" s="27" t="s">
        <v>57</v>
      </c>
      <c r="E107" s="27" t="s">
        <v>48</v>
      </c>
      <c r="F107" s="28" t="n">
        <v>109</v>
      </c>
      <c r="G107" s="28" t="n">
        <v>0</v>
      </c>
      <c r="H107" s="29" t="n">
        <v>0</v>
      </c>
      <c r="I107" s="28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8" t="n">
        <v>0</v>
      </c>
      <c r="R107" s="29" t="n">
        <v>0</v>
      </c>
      <c r="S107" s="27" t="s">
        <v>55</v>
      </c>
      <c r="T107" s="27"/>
    </row>
    <row r="108" customFormat="false" ht="15" hidden="false" customHeight="false" outlineLevel="0" collapsed="false">
      <c r="A108" s="24" t="s">
        <v>141</v>
      </c>
      <c r="B108" s="24" t="s">
        <v>139</v>
      </c>
      <c r="C108" s="24" t="s">
        <v>56</v>
      </c>
      <c r="D108" s="24" t="s">
        <v>57</v>
      </c>
      <c r="E108" s="24" t="s">
        <v>48</v>
      </c>
      <c r="F108" s="25" t="n">
        <v>523</v>
      </c>
      <c r="G108" s="25" t="n">
        <v>12</v>
      </c>
      <c r="H108" s="26" t="n">
        <v>44.66</v>
      </c>
      <c r="I108" s="25" t="n">
        <v>9</v>
      </c>
      <c r="J108" s="26" t="n">
        <v>66.95</v>
      </c>
      <c r="K108" s="26" t="n">
        <v>28.28</v>
      </c>
      <c r="L108" s="26" t="n">
        <v>17.48</v>
      </c>
      <c r="M108" s="26" t="n">
        <v>16.02</v>
      </c>
      <c r="N108" s="26" t="n">
        <v>71.81</v>
      </c>
      <c r="O108" s="26" t="n">
        <v>30.19</v>
      </c>
      <c r="P108" s="26" t="n">
        <v>16.84</v>
      </c>
      <c r="Q108" s="25" t="n">
        <v>4</v>
      </c>
      <c r="R108" s="26" t="n">
        <v>0</v>
      </c>
      <c r="S108" s="24" t="s">
        <v>55</v>
      </c>
      <c r="T108" s="24"/>
    </row>
    <row r="109" customFormat="false" ht="15" hidden="false" customHeight="false" outlineLevel="0" collapsed="false">
      <c r="A109" s="27" t="s">
        <v>142</v>
      </c>
      <c r="B109" s="27" t="s">
        <v>139</v>
      </c>
      <c r="C109" s="27" t="s">
        <v>56</v>
      </c>
      <c r="D109" s="27" t="s">
        <v>57</v>
      </c>
      <c r="E109" s="27" t="s">
        <v>48</v>
      </c>
      <c r="F109" s="28" t="n">
        <v>231</v>
      </c>
      <c r="G109" s="28" t="n">
        <v>0</v>
      </c>
      <c r="H109" s="29" t="n">
        <v>0</v>
      </c>
      <c r="I109" s="28" t="n">
        <v>0</v>
      </c>
      <c r="J109" s="29" t="n">
        <v>0</v>
      </c>
      <c r="K109" s="29" t="n">
        <v>0</v>
      </c>
      <c r="L109" s="29" t="n">
        <v>0</v>
      </c>
      <c r="M109" s="29" t="n">
        <v>0</v>
      </c>
      <c r="N109" s="29" t="n">
        <v>0</v>
      </c>
      <c r="O109" s="29" t="n">
        <v>0</v>
      </c>
      <c r="P109" s="29" t="n">
        <v>0</v>
      </c>
      <c r="Q109" s="28" t="n">
        <v>0</v>
      </c>
      <c r="R109" s="29" t="n">
        <v>0</v>
      </c>
      <c r="S109" s="27" t="s">
        <v>55</v>
      </c>
      <c r="T109" s="27"/>
    </row>
    <row r="110" customFormat="false" ht="15" hidden="false" customHeight="false" outlineLevel="0" collapsed="false">
      <c r="A110" s="24" t="s">
        <v>143</v>
      </c>
      <c r="B110" s="24" t="s">
        <v>144</v>
      </c>
      <c r="C110" s="24" t="s">
        <v>53</v>
      </c>
      <c r="D110" s="24" t="s">
        <v>54</v>
      </c>
      <c r="E110" s="24" t="s">
        <v>48</v>
      </c>
      <c r="F110" s="25" t="n">
        <v>1240</v>
      </c>
      <c r="G110" s="25" t="n">
        <v>285</v>
      </c>
      <c r="H110" s="26" t="n">
        <v>484.13</v>
      </c>
      <c r="I110" s="25" t="n">
        <v>83</v>
      </c>
      <c r="J110" s="26" t="n">
        <v>1010.85</v>
      </c>
      <c r="K110" s="26" t="n">
        <v>241.49</v>
      </c>
      <c r="L110" s="26" t="n">
        <v>87.84</v>
      </c>
      <c r="M110" s="26" t="n">
        <v>88.57</v>
      </c>
      <c r="N110" s="26" t="n">
        <v>1174.82</v>
      </c>
      <c r="O110" s="26" t="n">
        <v>535.86</v>
      </c>
      <c r="P110" s="26" t="n">
        <v>356.41</v>
      </c>
      <c r="Q110" s="25" t="n">
        <v>34</v>
      </c>
      <c r="R110" s="26" t="n">
        <v>0</v>
      </c>
      <c r="S110" s="24" t="s">
        <v>55</v>
      </c>
      <c r="T110" s="24"/>
    </row>
    <row r="111" customFormat="false" ht="15" hidden="false" customHeight="false" outlineLevel="0" collapsed="false">
      <c r="A111" s="27" t="s">
        <v>143</v>
      </c>
      <c r="B111" s="27" t="s">
        <v>144</v>
      </c>
      <c r="C111" s="27" t="s">
        <v>56</v>
      </c>
      <c r="D111" s="27" t="s">
        <v>57</v>
      </c>
      <c r="E111" s="27" t="s">
        <v>48</v>
      </c>
      <c r="F111" s="28" t="n">
        <v>11805</v>
      </c>
      <c r="G111" s="28" t="n">
        <v>274</v>
      </c>
      <c r="H111" s="29" t="n">
        <v>1136.26</v>
      </c>
      <c r="I111" s="28" t="n">
        <v>182</v>
      </c>
      <c r="J111" s="29" t="n">
        <v>1992.65</v>
      </c>
      <c r="K111" s="29" t="n">
        <v>609.89</v>
      </c>
      <c r="L111" s="29" t="n">
        <v>707.22</v>
      </c>
      <c r="M111" s="29" t="n">
        <v>583.74</v>
      </c>
      <c r="N111" s="29" t="n">
        <v>2221.93</v>
      </c>
      <c r="O111" s="29" t="n">
        <v>1225.68</v>
      </c>
      <c r="P111" s="29" t="n">
        <v>821.05</v>
      </c>
      <c r="Q111" s="28" t="n">
        <v>78</v>
      </c>
      <c r="R111" s="29" t="n">
        <v>0</v>
      </c>
      <c r="S111" s="27" t="s">
        <v>55</v>
      </c>
      <c r="T111" s="27"/>
    </row>
    <row r="112" customFormat="false" ht="15" hidden="false" customHeight="false" outlineLevel="0" collapsed="false">
      <c r="A112" s="24" t="s">
        <v>145</v>
      </c>
      <c r="B112" s="24" t="s">
        <v>144</v>
      </c>
      <c r="C112" s="24" t="s">
        <v>53</v>
      </c>
      <c r="D112" s="24" t="s">
        <v>54</v>
      </c>
      <c r="E112" s="24" t="s">
        <v>48</v>
      </c>
      <c r="F112" s="25" t="n">
        <v>28</v>
      </c>
      <c r="G112" s="25" t="n">
        <v>2</v>
      </c>
      <c r="H112" s="26" t="n">
        <v>7.74</v>
      </c>
      <c r="I112" s="25" t="n">
        <v>2</v>
      </c>
      <c r="J112" s="26" t="n">
        <v>9.67</v>
      </c>
      <c r="K112" s="26" t="n">
        <v>0</v>
      </c>
      <c r="L112" s="26" t="n">
        <v>0</v>
      </c>
      <c r="M112" s="26" t="n">
        <v>0</v>
      </c>
      <c r="N112" s="26" t="n">
        <v>2.87</v>
      </c>
      <c r="O112" s="26" t="n">
        <v>1.23</v>
      </c>
      <c r="P112" s="26" t="n">
        <v>0.86</v>
      </c>
      <c r="Q112" s="25" t="n">
        <v>1</v>
      </c>
      <c r="R112" s="26" t="n">
        <v>0</v>
      </c>
      <c r="S112" s="24" t="s">
        <v>55</v>
      </c>
      <c r="T112" s="24"/>
    </row>
    <row r="113" customFormat="false" ht="15" hidden="false" customHeight="false" outlineLevel="0" collapsed="false">
      <c r="A113" s="27" t="s">
        <v>145</v>
      </c>
      <c r="B113" s="27" t="s">
        <v>144</v>
      </c>
      <c r="C113" s="27" t="s">
        <v>56</v>
      </c>
      <c r="D113" s="27" t="s">
        <v>57</v>
      </c>
      <c r="E113" s="27" t="s">
        <v>48</v>
      </c>
      <c r="F113" s="28" t="n">
        <v>7904</v>
      </c>
      <c r="G113" s="28" t="n">
        <v>151</v>
      </c>
      <c r="H113" s="29" t="n">
        <v>808.86</v>
      </c>
      <c r="I113" s="28" t="n">
        <v>66</v>
      </c>
      <c r="J113" s="29" t="n">
        <v>893.47</v>
      </c>
      <c r="K113" s="29" t="n">
        <v>296.42</v>
      </c>
      <c r="L113" s="29" t="n">
        <v>46.6</v>
      </c>
      <c r="M113" s="29" t="n">
        <v>13.79</v>
      </c>
      <c r="N113" s="29" t="n">
        <v>778.13</v>
      </c>
      <c r="O113" s="29" t="n">
        <v>585.1</v>
      </c>
      <c r="P113" s="29" t="n">
        <v>426.65</v>
      </c>
      <c r="Q113" s="28" t="n">
        <v>20</v>
      </c>
      <c r="R113" s="29" t="n">
        <v>0</v>
      </c>
      <c r="S113" s="27" t="s">
        <v>55</v>
      </c>
      <c r="T113" s="27"/>
    </row>
    <row r="114" customFormat="false" ht="15" hidden="false" customHeight="false" outlineLevel="0" collapsed="false">
      <c r="A114" s="24" t="s">
        <v>146</v>
      </c>
      <c r="B114" s="24" t="s">
        <v>144</v>
      </c>
      <c r="C114" s="24" t="s">
        <v>53</v>
      </c>
      <c r="D114" s="24" t="s">
        <v>54</v>
      </c>
      <c r="E114" s="24" t="s">
        <v>48</v>
      </c>
      <c r="F114" s="25" t="n">
        <v>136</v>
      </c>
      <c r="G114" s="25" t="n">
        <v>45</v>
      </c>
      <c r="H114" s="26" t="n">
        <v>37.12</v>
      </c>
      <c r="I114" s="25" t="n">
        <v>11</v>
      </c>
      <c r="J114" s="26" t="n">
        <v>52.59</v>
      </c>
      <c r="K114" s="26" t="n">
        <v>0</v>
      </c>
      <c r="L114" s="26" t="n">
        <v>8.81</v>
      </c>
      <c r="M114" s="26" t="n">
        <v>5.12</v>
      </c>
      <c r="N114" s="26" t="n">
        <v>60.93</v>
      </c>
      <c r="O114" s="26" t="n">
        <v>37.2</v>
      </c>
      <c r="P114" s="26" t="n">
        <v>24.47</v>
      </c>
      <c r="Q114" s="25" t="n">
        <v>4</v>
      </c>
      <c r="R114" s="26" t="n">
        <v>0</v>
      </c>
      <c r="S114" s="24" t="s">
        <v>55</v>
      </c>
      <c r="T114" s="24"/>
    </row>
    <row r="115" customFormat="false" ht="15" hidden="false" customHeight="false" outlineLevel="0" collapsed="false">
      <c r="A115" s="27" t="s">
        <v>146</v>
      </c>
      <c r="B115" s="27" t="s">
        <v>144</v>
      </c>
      <c r="C115" s="27" t="s">
        <v>56</v>
      </c>
      <c r="D115" s="27" t="s">
        <v>57</v>
      </c>
      <c r="E115" s="27" t="s">
        <v>48</v>
      </c>
      <c r="F115" s="28" t="n">
        <v>4</v>
      </c>
      <c r="G115" s="28" t="n">
        <v>0</v>
      </c>
      <c r="H115" s="29" t="n">
        <v>0</v>
      </c>
      <c r="I115" s="28" t="n">
        <v>0</v>
      </c>
      <c r="J115" s="29" t="n">
        <v>0</v>
      </c>
      <c r="K115" s="29" t="n">
        <v>0</v>
      </c>
      <c r="L115" s="29" t="n">
        <v>0</v>
      </c>
      <c r="M115" s="29" t="n">
        <v>0</v>
      </c>
      <c r="N115" s="29" t="n">
        <v>0</v>
      </c>
      <c r="O115" s="29" t="n">
        <v>0</v>
      </c>
      <c r="P115" s="29" t="n">
        <v>0</v>
      </c>
      <c r="Q115" s="28" t="n">
        <v>0</v>
      </c>
      <c r="R115" s="29" t="n">
        <v>0</v>
      </c>
      <c r="S115" s="27" t="s">
        <v>55</v>
      </c>
      <c r="T115" s="27"/>
    </row>
    <row r="116" customFormat="false" ht="15" hidden="false" customHeight="false" outlineLevel="0" collapsed="false">
      <c r="A116" s="24" t="s">
        <v>147</v>
      </c>
      <c r="B116" s="24" t="s">
        <v>144</v>
      </c>
      <c r="C116" s="24" t="s">
        <v>53</v>
      </c>
      <c r="D116" s="24" t="s">
        <v>54</v>
      </c>
      <c r="E116" s="24" t="s">
        <v>48</v>
      </c>
      <c r="F116" s="25" t="n">
        <v>580</v>
      </c>
      <c r="G116" s="25" t="n">
        <v>80</v>
      </c>
      <c r="H116" s="26" t="n">
        <v>367.91</v>
      </c>
      <c r="I116" s="25" t="n">
        <v>60</v>
      </c>
      <c r="J116" s="26" t="n">
        <v>439.27</v>
      </c>
      <c r="K116" s="26" t="n">
        <v>313.17</v>
      </c>
      <c r="L116" s="26" t="n">
        <v>84.76</v>
      </c>
      <c r="M116" s="26" t="n">
        <v>70.43</v>
      </c>
      <c r="N116" s="26" t="n">
        <v>511.91</v>
      </c>
      <c r="O116" s="26" t="n">
        <v>1.51</v>
      </c>
      <c r="P116" s="26" t="n">
        <v>-69.39</v>
      </c>
      <c r="Q116" s="25" t="n">
        <v>59</v>
      </c>
      <c r="R116" s="26" t="n">
        <v>0</v>
      </c>
      <c r="S116" s="24" t="s">
        <v>55</v>
      </c>
      <c r="T116" s="24"/>
    </row>
    <row r="117" customFormat="false" ht="15" hidden="false" customHeight="false" outlineLevel="0" collapsed="false">
      <c r="A117" s="27" t="s">
        <v>147</v>
      </c>
      <c r="B117" s="27" t="s">
        <v>144</v>
      </c>
      <c r="C117" s="27" t="s">
        <v>56</v>
      </c>
      <c r="D117" s="27" t="s">
        <v>57</v>
      </c>
      <c r="E117" s="27" t="s">
        <v>48</v>
      </c>
      <c r="F117" s="28" t="n">
        <v>49</v>
      </c>
      <c r="G117" s="28" t="n">
        <v>7</v>
      </c>
      <c r="H117" s="29" t="n">
        <v>9.65</v>
      </c>
      <c r="I117" s="28" t="n">
        <v>5</v>
      </c>
      <c r="J117" s="29" t="n">
        <v>9.65</v>
      </c>
      <c r="K117" s="29" t="n">
        <v>0</v>
      </c>
      <c r="L117" s="29" t="n">
        <v>0</v>
      </c>
      <c r="M117" s="29" t="n">
        <v>0</v>
      </c>
      <c r="N117" s="29" t="n">
        <v>9.65</v>
      </c>
      <c r="O117" s="29" t="n">
        <v>9.65</v>
      </c>
      <c r="P117" s="29" t="n">
        <v>7.15</v>
      </c>
      <c r="Q117" s="28" t="n">
        <v>0</v>
      </c>
      <c r="R117" s="29" t="n">
        <v>0</v>
      </c>
      <c r="S117" s="27" t="s">
        <v>55</v>
      </c>
      <c r="T117" s="27"/>
    </row>
    <row r="118" customFormat="false" ht="15" hidden="false" customHeight="false" outlineLevel="0" collapsed="false">
      <c r="A118" s="24" t="s">
        <v>148</v>
      </c>
      <c r="B118" s="24" t="s">
        <v>144</v>
      </c>
      <c r="C118" s="24" t="s">
        <v>53</v>
      </c>
      <c r="D118" s="24" t="s">
        <v>54</v>
      </c>
      <c r="E118" s="24" t="s">
        <v>48</v>
      </c>
      <c r="F118" s="25" t="n">
        <v>375</v>
      </c>
      <c r="G118" s="25" t="n">
        <v>88</v>
      </c>
      <c r="H118" s="26" t="n">
        <v>431.17</v>
      </c>
      <c r="I118" s="25" t="n">
        <v>68</v>
      </c>
      <c r="J118" s="26" t="n">
        <v>461.99</v>
      </c>
      <c r="K118" s="26" t="n">
        <v>425.29</v>
      </c>
      <c r="L118" s="26" t="n">
        <v>1531.45</v>
      </c>
      <c r="M118" s="26" t="n">
        <v>1552.07</v>
      </c>
      <c r="N118" s="26" t="n">
        <v>99.05</v>
      </c>
      <c r="O118" s="26" t="n">
        <v>20.41</v>
      </c>
      <c r="P118" s="26" t="n">
        <v>-62.7</v>
      </c>
      <c r="Q118" s="25" t="n">
        <v>68</v>
      </c>
      <c r="R118" s="26" t="n">
        <v>0</v>
      </c>
      <c r="S118" s="24" t="s">
        <v>55</v>
      </c>
      <c r="T118" s="24"/>
    </row>
    <row r="119" customFormat="false" ht="15" hidden="false" customHeight="false" outlineLevel="0" collapsed="false">
      <c r="A119" s="27" t="s">
        <v>148</v>
      </c>
      <c r="B119" s="27" t="s">
        <v>144</v>
      </c>
      <c r="C119" s="27" t="s">
        <v>56</v>
      </c>
      <c r="D119" s="27" t="s">
        <v>57</v>
      </c>
      <c r="E119" s="27" t="s">
        <v>48</v>
      </c>
      <c r="F119" s="28" t="n">
        <v>158</v>
      </c>
      <c r="G119" s="28" t="n">
        <v>19</v>
      </c>
      <c r="H119" s="29" t="n">
        <v>19.3</v>
      </c>
      <c r="I119" s="28" t="n">
        <v>10</v>
      </c>
      <c r="J119" s="29" t="n">
        <v>19.3</v>
      </c>
      <c r="K119" s="29" t="n">
        <v>0</v>
      </c>
      <c r="L119" s="29" t="n">
        <v>0</v>
      </c>
      <c r="M119" s="29" t="n">
        <v>0</v>
      </c>
      <c r="N119" s="29" t="n">
        <v>17.37</v>
      </c>
      <c r="O119" s="29" t="n">
        <v>17.37</v>
      </c>
      <c r="P119" s="29" t="n">
        <v>12.87</v>
      </c>
      <c r="Q119" s="28" t="n">
        <v>0</v>
      </c>
      <c r="R119" s="29" t="n">
        <v>0</v>
      </c>
      <c r="S119" s="27" t="s">
        <v>55</v>
      </c>
      <c r="T119" s="27"/>
    </row>
    <row r="120" customFormat="false" ht="15" hidden="false" customHeight="false" outlineLevel="0" collapsed="false">
      <c r="A120" s="24" t="s">
        <v>149</v>
      </c>
      <c r="B120" s="24" t="s">
        <v>144</v>
      </c>
      <c r="C120" s="24" t="s">
        <v>53</v>
      </c>
      <c r="D120" s="24" t="s">
        <v>54</v>
      </c>
      <c r="E120" s="24" t="s">
        <v>48</v>
      </c>
      <c r="F120" s="25" t="n">
        <v>2</v>
      </c>
      <c r="G120" s="25" t="n">
        <v>0</v>
      </c>
      <c r="H120" s="26" t="n">
        <v>0</v>
      </c>
      <c r="I120" s="25" t="n">
        <v>0</v>
      </c>
      <c r="J120" s="26" t="n">
        <v>0</v>
      </c>
      <c r="K120" s="26" t="n">
        <v>0</v>
      </c>
      <c r="L120" s="26" t="n">
        <v>0</v>
      </c>
      <c r="M120" s="26" t="n">
        <v>0</v>
      </c>
      <c r="N120" s="26" t="n">
        <v>0</v>
      </c>
      <c r="O120" s="26" t="n">
        <v>0</v>
      </c>
      <c r="P120" s="26" t="n">
        <v>0</v>
      </c>
      <c r="Q120" s="25" t="n">
        <v>0</v>
      </c>
      <c r="R120" s="26" t="n">
        <v>0</v>
      </c>
      <c r="S120" s="24" t="s">
        <v>55</v>
      </c>
      <c r="T120" s="24"/>
    </row>
    <row r="121" customFormat="false" ht="15" hidden="false" customHeight="false" outlineLevel="0" collapsed="false">
      <c r="A121" s="27" t="s">
        <v>149</v>
      </c>
      <c r="B121" s="27" t="s">
        <v>144</v>
      </c>
      <c r="C121" s="27" t="s">
        <v>56</v>
      </c>
      <c r="D121" s="27" t="s">
        <v>57</v>
      </c>
      <c r="E121" s="27" t="s">
        <v>48</v>
      </c>
      <c r="F121" s="28" t="n">
        <v>39</v>
      </c>
      <c r="G121" s="28" t="n">
        <v>0</v>
      </c>
      <c r="H121" s="29" t="n">
        <v>0</v>
      </c>
      <c r="I121" s="28" t="n">
        <v>0</v>
      </c>
      <c r="J121" s="29" t="n">
        <v>0</v>
      </c>
      <c r="K121" s="29" t="n">
        <v>0</v>
      </c>
      <c r="L121" s="29" t="n">
        <v>0</v>
      </c>
      <c r="M121" s="29" t="n">
        <v>0</v>
      </c>
      <c r="N121" s="29" t="n">
        <v>0</v>
      </c>
      <c r="O121" s="29" t="n">
        <v>0</v>
      </c>
      <c r="P121" s="29" t="n">
        <v>0</v>
      </c>
      <c r="Q121" s="28" t="n">
        <v>0</v>
      </c>
      <c r="R121" s="29" t="n">
        <v>0</v>
      </c>
      <c r="S121" s="27" t="s">
        <v>55</v>
      </c>
      <c r="T121" s="27"/>
    </row>
    <row r="122" customFormat="false" ht="15" hidden="false" customHeight="false" outlineLevel="0" collapsed="false">
      <c r="A122" s="24" t="s">
        <v>150</v>
      </c>
      <c r="B122" s="24" t="s">
        <v>144</v>
      </c>
      <c r="C122" s="24" t="s">
        <v>56</v>
      </c>
      <c r="D122" s="24" t="s">
        <v>57</v>
      </c>
      <c r="E122" s="24" t="s">
        <v>48</v>
      </c>
      <c r="F122" s="25" t="n">
        <v>1919</v>
      </c>
      <c r="G122" s="25" t="n">
        <v>52</v>
      </c>
      <c r="H122" s="26" t="n">
        <v>78.4</v>
      </c>
      <c r="I122" s="25" t="n">
        <v>27</v>
      </c>
      <c r="J122" s="26" t="n">
        <v>111.97</v>
      </c>
      <c r="K122" s="26" t="n">
        <v>21.3</v>
      </c>
      <c r="L122" s="26" t="n">
        <v>8.32</v>
      </c>
      <c r="M122" s="26" t="n">
        <v>4.74</v>
      </c>
      <c r="N122" s="26" t="n">
        <v>71.09</v>
      </c>
      <c r="O122" s="26" t="n">
        <v>33.33</v>
      </c>
      <c r="P122" s="26" t="n">
        <v>24.72</v>
      </c>
      <c r="Q122" s="25" t="n">
        <v>4</v>
      </c>
      <c r="R122" s="26" t="n">
        <v>0</v>
      </c>
      <c r="S122" s="24" t="s">
        <v>55</v>
      </c>
      <c r="T122" s="24"/>
    </row>
    <row r="123" customFormat="false" ht="15" hidden="false" customHeight="false" outlineLevel="0" collapsed="false">
      <c r="A123" s="27" t="s">
        <v>151</v>
      </c>
      <c r="B123" s="27" t="s">
        <v>144</v>
      </c>
      <c r="C123" s="27" t="s">
        <v>56</v>
      </c>
      <c r="D123" s="27" t="s">
        <v>57</v>
      </c>
      <c r="E123" s="27" t="s">
        <v>48</v>
      </c>
      <c r="F123" s="28" t="n">
        <v>52</v>
      </c>
      <c r="G123" s="28" t="n">
        <v>0</v>
      </c>
      <c r="H123" s="29" t="n">
        <v>0</v>
      </c>
      <c r="I123" s="28" t="n">
        <v>0</v>
      </c>
      <c r="J123" s="29" t="n">
        <v>0</v>
      </c>
      <c r="K123" s="29" t="n">
        <v>0</v>
      </c>
      <c r="L123" s="29" t="n">
        <v>0</v>
      </c>
      <c r="M123" s="29" t="n">
        <v>0</v>
      </c>
      <c r="N123" s="29" t="n">
        <v>0</v>
      </c>
      <c r="O123" s="29" t="n">
        <v>0</v>
      </c>
      <c r="P123" s="29" t="n">
        <v>0</v>
      </c>
      <c r="Q123" s="28" t="n">
        <v>0</v>
      </c>
      <c r="R123" s="29" t="n">
        <v>0</v>
      </c>
      <c r="S123" s="27" t="s">
        <v>55</v>
      </c>
      <c r="T123" s="27"/>
    </row>
    <row r="124" customFormat="false" ht="15" hidden="false" customHeight="false" outlineLevel="0" collapsed="false">
      <c r="A124" s="24" t="s">
        <v>152</v>
      </c>
      <c r="B124" s="24" t="s">
        <v>153</v>
      </c>
      <c r="C124" s="24" t="s">
        <v>53</v>
      </c>
      <c r="D124" s="24" t="s">
        <v>54</v>
      </c>
      <c r="E124" s="24" t="s">
        <v>48</v>
      </c>
      <c r="F124" s="25" t="n">
        <v>271</v>
      </c>
      <c r="G124" s="25" t="n">
        <v>54</v>
      </c>
      <c r="H124" s="26" t="n">
        <v>112.02</v>
      </c>
      <c r="I124" s="25" t="n">
        <v>24</v>
      </c>
      <c r="J124" s="26" t="n">
        <v>455.33</v>
      </c>
      <c r="K124" s="26" t="n">
        <v>192.76</v>
      </c>
      <c r="L124" s="26" t="n">
        <v>23.75</v>
      </c>
      <c r="M124" s="26" t="n">
        <v>18.17</v>
      </c>
      <c r="N124" s="26" t="n">
        <v>689.47</v>
      </c>
      <c r="O124" s="26" t="n">
        <v>144.56</v>
      </c>
      <c r="P124" s="26" t="n">
        <v>81.17</v>
      </c>
      <c r="Q124" s="25" t="n">
        <v>14</v>
      </c>
      <c r="R124" s="26" t="n">
        <v>0</v>
      </c>
      <c r="S124" s="24" t="s">
        <v>55</v>
      </c>
      <c r="T124" s="24"/>
    </row>
    <row r="125" customFormat="false" ht="15" hidden="false" customHeight="false" outlineLevel="0" collapsed="false">
      <c r="A125" s="27" t="s">
        <v>152</v>
      </c>
      <c r="B125" s="27" t="s">
        <v>153</v>
      </c>
      <c r="C125" s="27" t="s">
        <v>56</v>
      </c>
      <c r="D125" s="27" t="s">
        <v>57</v>
      </c>
      <c r="E125" s="27" t="s">
        <v>48</v>
      </c>
      <c r="F125" s="28" t="n">
        <v>5200</v>
      </c>
      <c r="G125" s="28" t="n">
        <v>237</v>
      </c>
      <c r="H125" s="29" t="n">
        <v>1609.7</v>
      </c>
      <c r="I125" s="28" t="n">
        <v>173</v>
      </c>
      <c r="J125" s="29" t="n">
        <v>3557.25</v>
      </c>
      <c r="K125" s="29" t="n">
        <v>1921.37</v>
      </c>
      <c r="L125" s="29" t="n">
        <v>417.42</v>
      </c>
      <c r="M125" s="29" t="n">
        <v>358.64</v>
      </c>
      <c r="N125" s="29" t="n">
        <v>4068.25</v>
      </c>
      <c r="O125" s="29" t="n">
        <v>595.47</v>
      </c>
      <c r="P125" s="29" t="n">
        <v>100.46</v>
      </c>
      <c r="Q125" s="28" t="n">
        <v>96</v>
      </c>
      <c r="R125" s="29" t="n">
        <v>0</v>
      </c>
      <c r="S125" s="27" t="s">
        <v>55</v>
      </c>
      <c r="T125" s="27"/>
    </row>
    <row r="126" customFormat="false" ht="15" hidden="false" customHeight="false" outlineLevel="0" collapsed="false">
      <c r="A126" s="24" t="s">
        <v>154</v>
      </c>
      <c r="B126" s="24" t="s">
        <v>153</v>
      </c>
      <c r="C126" s="24" t="s">
        <v>56</v>
      </c>
      <c r="D126" s="24" t="s">
        <v>57</v>
      </c>
      <c r="E126" s="24" t="s">
        <v>48</v>
      </c>
      <c r="F126" s="25" t="n">
        <v>26</v>
      </c>
      <c r="G126" s="25" t="n">
        <v>0</v>
      </c>
      <c r="H126" s="26" t="n">
        <v>0</v>
      </c>
      <c r="I126" s="25" t="n">
        <v>0</v>
      </c>
      <c r="J126" s="26" t="n">
        <v>0</v>
      </c>
      <c r="K126" s="26" t="n">
        <v>0</v>
      </c>
      <c r="L126" s="26" t="n">
        <v>0</v>
      </c>
      <c r="M126" s="26" t="n">
        <v>0</v>
      </c>
      <c r="N126" s="26" t="n">
        <v>0</v>
      </c>
      <c r="O126" s="26" t="n">
        <v>0</v>
      </c>
      <c r="P126" s="26" t="n">
        <v>0</v>
      </c>
      <c r="Q126" s="25" t="n">
        <v>0</v>
      </c>
      <c r="R126" s="26" t="n">
        <v>0</v>
      </c>
      <c r="S126" s="24" t="s">
        <v>55</v>
      </c>
      <c r="T126" s="24"/>
    </row>
    <row r="127" customFormat="false" ht="15" hidden="false" customHeight="false" outlineLevel="0" collapsed="false">
      <c r="A127" s="27" t="s">
        <v>155</v>
      </c>
      <c r="B127" s="27" t="s">
        <v>153</v>
      </c>
      <c r="C127" s="27" t="s">
        <v>53</v>
      </c>
      <c r="D127" s="27" t="s">
        <v>54</v>
      </c>
      <c r="E127" s="27" t="s">
        <v>48</v>
      </c>
      <c r="F127" s="28" t="n">
        <v>1</v>
      </c>
      <c r="G127" s="28" t="n">
        <v>0</v>
      </c>
      <c r="H127" s="29" t="n">
        <v>0</v>
      </c>
      <c r="I127" s="28" t="n">
        <v>0</v>
      </c>
      <c r="J127" s="29" t="n">
        <v>0</v>
      </c>
      <c r="K127" s="29" t="n">
        <v>0</v>
      </c>
      <c r="L127" s="29" t="n">
        <v>0</v>
      </c>
      <c r="M127" s="29" t="n">
        <v>0</v>
      </c>
      <c r="N127" s="29" t="n">
        <v>0</v>
      </c>
      <c r="O127" s="29" t="n">
        <v>0</v>
      </c>
      <c r="P127" s="29" t="n">
        <v>0</v>
      </c>
      <c r="Q127" s="28" t="n">
        <v>0</v>
      </c>
      <c r="R127" s="29" t="n">
        <v>0</v>
      </c>
      <c r="S127" s="27" t="s">
        <v>55</v>
      </c>
      <c r="T127" s="27"/>
    </row>
    <row r="128" customFormat="false" ht="15" hidden="false" customHeight="false" outlineLevel="0" collapsed="false">
      <c r="A128" s="24" t="s">
        <v>156</v>
      </c>
      <c r="B128" s="24" t="s">
        <v>153</v>
      </c>
      <c r="C128" s="24" t="s">
        <v>56</v>
      </c>
      <c r="D128" s="24" t="s">
        <v>57</v>
      </c>
      <c r="E128" s="24" t="s">
        <v>48</v>
      </c>
      <c r="F128" s="25" t="n">
        <v>1522</v>
      </c>
      <c r="G128" s="25" t="n">
        <v>27</v>
      </c>
      <c r="H128" s="26" t="n">
        <v>65.94</v>
      </c>
      <c r="I128" s="25" t="n">
        <v>19</v>
      </c>
      <c r="J128" s="26" t="n">
        <v>90.19</v>
      </c>
      <c r="K128" s="26" t="n">
        <v>25.24</v>
      </c>
      <c r="L128" s="26" t="n">
        <v>54.29</v>
      </c>
      <c r="M128" s="26" t="n">
        <v>55.11</v>
      </c>
      <c r="N128" s="26" t="n">
        <v>100.19</v>
      </c>
      <c r="O128" s="26" t="n">
        <v>-15.36</v>
      </c>
      <c r="P128" s="26" t="n">
        <v>-31.05</v>
      </c>
      <c r="Q128" s="25" t="n">
        <v>4</v>
      </c>
      <c r="R128" s="26" t="n">
        <v>0</v>
      </c>
      <c r="S128" s="24" t="s">
        <v>55</v>
      </c>
      <c r="T128" s="24"/>
    </row>
    <row r="129" customFormat="false" ht="15" hidden="false" customHeight="false" outlineLevel="0" collapsed="false">
      <c r="A129" s="27" t="s">
        <v>157</v>
      </c>
      <c r="B129" s="27" t="s">
        <v>153</v>
      </c>
      <c r="C129" s="27" t="s">
        <v>56</v>
      </c>
      <c r="D129" s="27" t="s">
        <v>57</v>
      </c>
      <c r="E129" s="27" t="s">
        <v>48</v>
      </c>
      <c r="F129" s="28" t="n">
        <v>11</v>
      </c>
      <c r="G129" s="28" t="n">
        <v>0</v>
      </c>
      <c r="H129" s="29" t="n">
        <v>0</v>
      </c>
      <c r="I129" s="28" t="n">
        <v>0</v>
      </c>
      <c r="J129" s="29" t="n">
        <v>0</v>
      </c>
      <c r="K129" s="29" t="n">
        <v>0</v>
      </c>
      <c r="L129" s="29" t="n">
        <v>0</v>
      </c>
      <c r="M129" s="29" t="n">
        <v>0</v>
      </c>
      <c r="N129" s="29" t="n">
        <v>0</v>
      </c>
      <c r="O129" s="29" t="n">
        <v>0</v>
      </c>
      <c r="P129" s="29" t="n">
        <v>0</v>
      </c>
      <c r="Q129" s="28" t="n">
        <v>0</v>
      </c>
      <c r="R129" s="29" t="n">
        <v>0</v>
      </c>
      <c r="S129" s="27" t="s">
        <v>55</v>
      </c>
      <c r="T129" s="27"/>
    </row>
    <row r="130" customFormat="false" ht="15" hidden="false" customHeight="false" outlineLevel="0" collapsed="false">
      <c r="A130" s="24" t="s">
        <v>158</v>
      </c>
      <c r="B130" s="24" t="s">
        <v>159</v>
      </c>
      <c r="C130" s="24" t="s">
        <v>53</v>
      </c>
      <c r="D130" s="24" t="s">
        <v>54</v>
      </c>
      <c r="E130" s="24" t="s">
        <v>48</v>
      </c>
      <c r="F130" s="25" t="n">
        <v>129</v>
      </c>
      <c r="G130" s="25" t="n">
        <v>34</v>
      </c>
      <c r="H130" s="26" t="n">
        <v>388.36</v>
      </c>
      <c r="I130" s="25" t="n">
        <v>14</v>
      </c>
      <c r="J130" s="26" t="n">
        <v>401.25</v>
      </c>
      <c r="K130" s="26" t="n">
        <v>81.83</v>
      </c>
      <c r="L130" s="26" t="n">
        <v>3.35</v>
      </c>
      <c r="M130" s="26" t="n">
        <v>1.51</v>
      </c>
      <c r="N130" s="26" t="n">
        <v>422.73</v>
      </c>
      <c r="O130" s="26" t="n">
        <v>319.23</v>
      </c>
      <c r="P130" s="26" t="n">
        <v>230.21</v>
      </c>
      <c r="Q130" s="25" t="n">
        <v>13</v>
      </c>
      <c r="R130" s="26" t="n">
        <v>0</v>
      </c>
      <c r="S130" s="24" t="s">
        <v>55</v>
      </c>
      <c r="T130" s="24"/>
    </row>
    <row r="131" customFormat="false" ht="15" hidden="false" customHeight="false" outlineLevel="0" collapsed="false">
      <c r="A131" s="27" t="s">
        <v>160</v>
      </c>
      <c r="B131" s="27" t="s">
        <v>161</v>
      </c>
      <c r="C131" s="27" t="s">
        <v>118</v>
      </c>
      <c r="D131" s="27" t="s">
        <v>119</v>
      </c>
      <c r="E131" s="27" t="s">
        <v>48</v>
      </c>
      <c r="F131" s="28" t="n">
        <v>5</v>
      </c>
      <c r="G131" s="28" t="n">
        <v>0</v>
      </c>
      <c r="H131" s="29" t="n">
        <v>0</v>
      </c>
      <c r="I131" s="28" t="n">
        <v>0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n">
        <v>0</v>
      </c>
      <c r="O131" s="29" t="n">
        <v>0</v>
      </c>
      <c r="P131" s="29" t="n">
        <v>0</v>
      </c>
      <c r="Q131" s="28" t="n">
        <v>0</v>
      </c>
      <c r="R131" s="29" t="n">
        <v>0</v>
      </c>
      <c r="S131" s="27" t="s">
        <v>55</v>
      </c>
      <c r="T131" s="27"/>
    </row>
    <row r="132" customFormat="false" ht="15" hidden="false" customHeight="false" outlineLevel="0" collapsed="false">
      <c r="A132" s="24" t="s">
        <v>160</v>
      </c>
      <c r="B132" s="24" t="s">
        <v>161</v>
      </c>
      <c r="C132" s="24" t="s">
        <v>56</v>
      </c>
      <c r="D132" s="24" t="s">
        <v>57</v>
      </c>
      <c r="E132" s="24" t="s">
        <v>48</v>
      </c>
      <c r="F132" s="25" t="n">
        <v>16</v>
      </c>
      <c r="G132" s="25" t="n">
        <v>0</v>
      </c>
      <c r="H132" s="26" t="n">
        <v>0</v>
      </c>
      <c r="I132" s="25" t="n">
        <v>0</v>
      </c>
      <c r="J132" s="26" t="n">
        <v>0</v>
      </c>
      <c r="K132" s="26" t="n">
        <v>0</v>
      </c>
      <c r="L132" s="26" t="n">
        <v>0</v>
      </c>
      <c r="M132" s="26" t="n">
        <v>0</v>
      </c>
      <c r="N132" s="26" t="n">
        <v>0</v>
      </c>
      <c r="O132" s="26" t="n">
        <v>0</v>
      </c>
      <c r="P132" s="26" t="n">
        <v>0</v>
      </c>
      <c r="Q132" s="25" t="n">
        <v>0</v>
      </c>
      <c r="R132" s="26" t="n">
        <v>0</v>
      </c>
      <c r="S132" s="24" t="s">
        <v>55</v>
      </c>
      <c r="T132" s="24"/>
    </row>
    <row r="133" customFormat="false" ht="15" hidden="false" customHeight="false" outlineLevel="0" collapsed="false">
      <c r="A133" s="27" t="s">
        <v>162</v>
      </c>
      <c r="B133" s="27" t="s">
        <v>161</v>
      </c>
      <c r="C133" s="27" t="s">
        <v>53</v>
      </c>
      <c r="D133" s="27" t="s">
        <v>54</v>
      </c>
      <c r="E133" s="27" t="s">
        <v>48</v>
      </c>
      <c r="F133" s="28" t="n">
        <v>1357</v>
      </c>
      <c r="G133" s="28" t="n">
        <v>199</v>
      </c>
      <c r="H133" s="29" t="n">
        <v>645</v>
      </c>
      <c r="I133" s="28" t="n">
        <v>149</v>
      </c>
      <c r="J133" s="29" t="n">
        <v>1642.71</v>
      </c>
      <c r="K133" s="29" t="n">
        <v>1824.91</v>
      </c>
      <c r="L133" s="29" t="n">
        <v>513.73</v>
      </c>
      <c r="M133" s="29" t="n">
        <v>426.61</v>
      </c>
      <c r="N133" s="29" t="n">
        <v>1816.6</v>
      </c>
      <c r="O133" s="29" t="n">
        <v>-368.45</v>
      </c>
      <c r="P133" s="29" t="n">
        <v>-656.07</v>
      </c>
      <c r="Q133" s="28" t="n">
        <v>81</v>
      </c>
      <c r="R133" s="29" t="n">
        <v>0</v>
      </c>
      <c r="S133" s="27" t="s">
        <v>55</v>
      </c>
      <c r="T133" s="27"/>
    </row>
    <row r="134" customFormat="false" ht="15" hidden="false" customHeight="false" outlineLevel="0" collapsed="false">
      <c r="A134" s="24" t="s">
        <v>162</v>
      </c>
      <c r="B134" s="24" t="s">
        <v>161</v>
      </c>
      <c r="C134" s="24" t="s">
        <v>56</v>
      </c>
      <c r="D134" s="24" t="s">
        <v>57</v>
      </c>
      <c r="E134" s="24" t="s">
        <v>48</v>
      </c>
      <c r="F134" s="25" t="n">
        <v>25745</v>
      </c>
      <c r="G134" s="25" t="n">
        <v>860</v>
      </c>
      <c r="H134" s="26" t="n">
        <v>2553.65</v>
      </c>
      <c r="I134" s="25" t="n">
        <v>560</v>
      </c>
      <c r="J134" s="26" t="n">
        <v>6116.22</v>
      </c>
      <c r="K134" s="26" t="n">
        <v>8047.66</v>
      </c>
      <c r="L134" s="26" t="n">
        <v>3780.37</v>
      </c>
      <c r="M134" s="26" t="n">
        <v>3749.6</v>
      </c>
      <c r="N134" s="26" t="n">
        <v>7040.89</v>
      </c>
      <c r="O134" s="26" t="n">
        <v>-3231.65</v>
      </c>
      <c r="P134" s="26" t="n">
        <v>-4382.47</v>
      </c>
      <c r="Q134" s="25" t="n">
        <v>236</v>
      </c>
      <c r="R134" s="26" t="n">
        <v>0</v>
      </c>
      <c r="S134" s="24" t="s">
        <v>55</v>
      </c>
      <c r="T134" s="24"/>
    </row>
    <row r="135" customFormat="false" ht="15" hidden="false" customHeight="false" outlineLevel="0" collapsed="false">
      <c r="A135" s="27" t="s">
        <v>163</v>
      </c>
      <c r="B135" s="27" t="s">
        <v>161</v>
      </c>
      <c r="C135" s="27" t="s">
        <v>53</v>
      </c>
      <c r="D135" s="27" t="s">
        <v>54</v>
      </c>
      <c r="E135" s="27" t="s">
        <v>48</v>
      </c>
      <c r="F135" s="28" t="n">
        <v>31</v>
      </c>
      <c r="G135" s="28" t="n">
        <v>4</v>
      </c>
      <c r="H135" s="29" t="n">
        <v>0</v>
      </c>
      <c r="I135" s="28" t="n">
        <v>0</v>
      </c>
      <c r="J135" s="29" t="n">
        <v>0</v>
      </c>
      <c r="K135" s="29" t="n">
        <v>0</v>
      </c>
      <c r="L135" s="29" t="n">
        <v>0</v>
      </c>
      <c r="M135" s="29" t="n">
        <v>0</v>
      </c>
      <c r="N135" s="29" t="n">
        <v>0</v>
      </c>
      <c r="O135" s="29" t="n">
        <v>0</v>
      </c>
      <c r="P135" s="29" t="n">
        <v>0</v>
      </c>
      <c r="Q135" s="28" t="n">
        <v>0</v>
      </c>
      <c r="R135" s="29" t="n">
        <v>0</v>
      </c>
      <c r="S135" s="27" t="s">
        <v>55</v>
      </c>
      <c r="T135" s="27"/>
    </row>
    <row r="136" customFormat="false" ht="15" hidden="false" customHeight="false" outlineLevel="0" collapsed="false">
      <c r="A136" s="20" t="s">
        <v>164</v>
      </c>
      <c r="B136" s="20"/>
      <c r="C136" s="20" t="s">
        <v>56</v>
      </c>
      <c r="D136" s="20" t="s">
        <v>57</v>
      </c>
      <c r="E136" s="20" t="s">
        <v>48</v>
      </c>
      <c r="F136" s="21" t="n">
        <v>1</v>
      </c>
      <c r="G136" s="21" t="n">
        <v>0</v>
      </c>
      <c r="H136" s="22" t="n">
        <v>0</v>
      </c>
      <c r="I136" s="21" t="n">
        <v>0</v>
      </c>
      <c r="J136" s="22" t="n">
        <v>0</v>
      </c>
      <c r="K136" s="22" t="n">
        <v>0</v>
      </c>
      <c r="L136" s="22" t="n">
        <v>0</v>
      </c>
      <c r="M136" s="22" t="n">
        <v>0</v>
      </c>
      <c r="N136" s="22" t="n">
        <v>0</v>
      </c>
      <c r="O136" s="22" t="n">
        <v>0</v>
      </c>
      <c r="P136" s="22" t="n">
        <v>0</v>
      </c>
      <c r="Q136" s="21" t="n">
        <v>0</v>
      </c>
      <c r="R136" s="22" t="n">
        <v>0</v>
      </c>
      <c r="S136" s="23" t="s">
        <v>49</v>
      </c>
      <c r="T136" s="20" t="s">
        <v>165</v>
      </c>
    </row>
    <row r="137" customFormat="false" ht="15" hidden="false" customHeight="false" outlineLevel="0" collapsed="false">
      <c r="A137" s="27" t="s">
        <v>166</v>
      </c>
      <c r="B137" s="27" t="s">
        <v>167</v>
      </c>
      <c r="C137" s="27" t="s">
        <v>53</v>
      </c>
      <c r="D137" s="27" t="s">
        <v>54</v>
      </c>
      <c r="E137" s="27" t="s">
        <v>48</v>
      </c>
      <c r="F137" s="28" t="n">
        <v>3</v>
      </c>
      <c r="G137" s="28" t="n">
        <v>0</v>
      </c>
      <c r="H137" s="29" t="n">
        <v>0</v>
      </c>
      <c r="I137" s="28" t="n">
        <v>0</v>
      </c>
      <c r="J137" s="29" t="n">
        <v>0</v>
      </c>
      <c r="K137" s="29" t="n">
        <v>0</v>
      </c>
      <c r="L137" s="29" t="n">
        <v>0</v>
      </c>
      <c r="M137" s="29" t="n">
        <v>0</v>
      </c>
      <c r="N137" s="29" t="n">
        <v>0</v>
      </c>
      <c r="O137" s="29" t="n">
        <v>0</v>
      </c>
      <c r="P137" s="29" t="n">
        <v>0</v>
      </c>
      <c r="Q137" s="28" t="n">
        <v>0</v>
      </c>
      <c r="R137" s="29" t="n">
        <v>0</v>
      </c>
      <c r="S137" s="27" t="s">
        <v>55</v>
      </c>
      <c r="T137" s="27"/>
    </row>
    <row r="138" customFormat="false" ht="15" hidden="false" customHeight="false" outlineLevel="0" collapsed="false">
      <c r="A138" s="24" t="s">
        <v>166</v>
      </c>
      <c r="B138" s="24" t="s">
        <v>167</v>
      </c>
      <c r="C138" s="24" t="s">
        <v>56</v>
      </c>
      <c r="D138" s="24" t="s">
        <v>57</v>
      </c>
      <c r="E138" s="24" t="s">
        <v>48</v>
      </c>
      <c r="F138" s="25" t="n">
        <v>173</v>
      </c>
      <c r="G138" s="25" t="n">
        <v>7</v>
      </c>
      <c r="H138" s="26" t="n">
        <v>17.48</v>
      </c>
      <c r="I138" s="25" t="n">
        <v>5</v>
      </c>
      <c r="J138" s="26" t="n">
        <v>29.32</v>
      </c>
      <c r="K138" s="26" t="n">
        <v>0</v>
      </c>
      <c r="L138" s="26" t="n">
        <v>0</v>
      </c>
      <c r="M138" s="26" t="n">
        <v>0</v>
      </c>
      <c r="N138" s="26" t="n">
        <v>31.42</v>
      </c>
      <c r="O138" s="26" t="n">
        <v>26.19</v>
      </c>
      <c r="P138" s="26" t="n">
        <v>19.29</v>
      </c>
      <c r="Q138" s="25" t="n">
        <v>2</v>
      </c>
      <c r="R138" s="26" t="n">
        <v>0</v>
      </c>
      <c r="S138" s="24" t="s">
        <v>55</v>
      </c>
      <c r="T138" s="24"/>
    </row>
    <row r="139" customFormat="false" ht="15" hidden="false" customHeight="false" outlineLevel="0" collapsed="false">
      <c r="A139" s="27" t="s">
        <v>168</v>
      </c>
      <c r="B139" s="27" t="s">
        <v>167</v>
      </c>
      <c r="C139" s="27" t="s">
        <v>53</v>
      </c>
      <c r="D139" s="27" t="s">
        <v>54</v>
      </c>
      <c r="E139" s="27" t="s">
        <v>48</v>
      </c>
      <c r="F139" s="28" t="n">
        <v>1518</v>
      </c>
      <c r="G139" s="28" t="n">
        <v>423</v>
      </c>
      <c r="H139" s="29" t="n">
        <v>1277.01</v>
      </c>
      <c r="I139" s="28" t="n">
        <v>231</v>
      </c>
      <c r="J139" s="29" t="n">
        <v>2776.93</v>
      </c>
      <c r="K139" s="29" t="n">
        <v>540.35</v>
      </c>
      <c r="L139" s="29" t="n">
        <v>662.83</v>
      </c>
      <c r="M139" s="29" t="n">
        <v>513.52</v>
      </c>
      <c r="N139" s="29" t="n">
        <v>2676.6</v>
      </c>
      <c r="O139" s="29" t="n">
        <v>1923.51</v>
      </c>
      <c r="P139" s="29" t="n">
        <v>1339.1</v>
      </c>
      <c r="Q139" s="28" t="n">
        <v>115</v>
      </c>
      <c r="R139" s="29" t="n">
        <v>0</v>
      </c>
      <c r="S139" s="27" t="s">
        <v>55</v>
      </c>
      <c r="T139" s="27"/>
    </row>
    <row r="140" customFormat="false" ht="15" hidden="false" customHeight="false" outlineLevel="0" collapsed="false">
      <c r="A140" s="24" t="s">
        <v>168</v>
      </c>
      <c r="B140" s="24" t="s">
        <v>167</v>
      </c>
      <c r="C140" s="24" t="s">
        <v>56</v>
      </c>
      <c r="D140" s="24" t="s">
        <v>57</v>
      </c>
      <c r="E140" s="24" t="s">
        <v>48</v>
      </c>
      <c r="F140" s="25" t="n">
        <v>12270</v>
      </c>
      <c r="G140" s="25" t="n">
        <v>571</v>
      </c>
      <c r="H140" s="26" t="n">
        <v>3493.26</v>
      </c>
      <c r="I140" s="25" t="n">
        <v>408</v>
      </c>
      <c r="J140" s="26" t="n">
        <v>5499.78</v>
      </c>
      <c r="K140" s="26" t="n">
        <v>2685.17</v>
      </c>
      <c r="L140" s="26" t="n">
        <v>2245.49</v>
      </c>
      <c r="M140" s="26" t="n">
        <v>2264.55</v>
      </c>
      <c r="N140" s="26" t="n">
        <v>5984.64</v>
      </c>
      <c r="O140" s="26" t="n">
        <v>1299.12</v>
      </c>
      <c r="P140" s="26" t="n">
        <v>417.13</v>
      </c>
      <c r="Q140" s="25" t="n">
        <v>178</v>
      </c>
      <c r="R140" s="26" t="n">
        <v>0</v>
      </c>
      <c r="S140" s="24" t="s">
        <v>55</v>
      </c>
      <c r="T140" s="24"/>
    </row>
    <row r="141" customFormat="false" ht="15" hidden="false" customHeight="false" outlineLevel="0" collapsed="false">
      <c r="A141" s="27" t="s">
        <v>169</v>
      </c>
      <c r="B141" s="27" t="s">
        <v>167</v>
      </c>
      <c r="C141" s="27" t="s">
        <v>53</v>
      </c>
      <c r="D141" s="27" t="s">
        <v>54</v>
      </c>
      <c r="E141" s="27" t="s">
        <v>48</v>
      </c>
      <c r="F141" s="28" t="n">
        <v>1</v>
      </c>
      <c r="G141" s="28" t="n">
        <v>0</v>
      </c>
      <c r="H141" s="29" t="n">
        <v>0</v>
      </c>
      <c r="I141" s="28" t="n">
        <v>0</v>
      </c>
      <c r="J141" s="29" t="n">
        <v>0</v>
      </c>
      <c r="K141" s="29" t="n">
        <v>0</v>
      </c>
      <c r="L141" s="29" t="n">
        <v>0</v>
      </c>
      <c r="M141" s="29" t="n">
        <v>0</v>
      </c>
      <c r="N141" s="29" t="n">
        <v>0</v>
      </c>
      <c r="O141" s="29" t="n">
        <v>0</v>
      </c>
      <c r="P141" s="29" t="n">
        <v>0</v>
      </c>
      <c r="Q141" s="28" t="n">
        <v>0</v>
      </c>
      <c r="R141" s="29" t="n">
        <v>0</v>
      </c>
      <c r="S141" s="27" t="s">
        <v>55</v>
      </c>
      <c r="T141" s="27"/>
    </row>
    <row r="142" customFormat="false" ht="15" hidden="false" customHeight="false" outlineLevel="0" collapsed="false">
      <c r="A142" s="24" t="s">
        <v>169</v>
      </c>
      <c r="B142" s="24" t="s">
        <v>167</v>
      </c>
      <c r="C142" s="24" t="s">
        <v>56</v>
      </c>
      <c r="D142" s="24" t="s">
        <v>57</v>
      </c>
      <c r="E142" s="24" t="s">
        <v>48</v>
      </c>
      <c r="F142" s="25" t="n">
        <v>1</v>
      </c>
      <c r="G142" s="25" t="n">
        <v>0</v>
      </c>
      <c r="H142" s="26" t="n">
        <v>0</v>
      </c>
      <c r="I142" s="25" t="n">
        <v>0</v>
      </c>
      <c r="J142" s="26" t="n">
        <v>0</v>
      </c>
      <c r="K142" s="26" t="n">
        <v>0</v>
      </c>
      <c r="L142" s="26" t="n">
        <v>0</v>
      </c>
      <c r="M142" s="26" t="n">
        <v>0</v>
      </c>
      <c r="N142" s="26" t="n">
        <v>0</v>
      </c>
      <c r="O142" s="26" t="n">
        <v>0</v>
      </c>
      <c r="P142" s="26" t="n">
        <v>0</v>
      </c>
      <c r="Q142" s="25" t="n">
        <v>0</v>
      </c>
      <c r="R142" s="26" t="n">
        <v>0</v>
      </c>
      <c r="S142" s="24" t="s">
        <v>55</v>
      </c>
      <c r="T142" s="24"/>
    </row>
    <row r="143" customFormat="false" ht="15" hidden="false" customHeight="false" outlineLevel="0" collapsed="false">
      <c r="A143" s="27" t="s">
        <v>170</v>
      </c>
      <c r="B143" s="27" t="s">
        <v>67</v>
      </c>
      <c r="C143" s="27" t="s">
        <v>53</v>
      </c>
      <c r="D143" s="27" t="s">
        <v>54</v>
      </c>
      <c r="E143" s="27" t="s">
        <v>48</v>
      </c>
      <c r="F143" s="28" t="n">
        <v>209</v>
      </c>
      <c r="G143" s="28" t="n">
        <v>33</v>
      </c>
      <c r="H143" s="29" t="n">
        <v>68.16</v>
      </c>
      <c r="I143" s="28" t="n">
        <v>6</v>
      </c>
      <c r="J143" s="29" t="n">
        <v>70.1</v>
      </c>
      <c r="K143" s="29" t="n">
        <v>19.6</v>
      </c>
      <c r="L143" s="29" t="n">
        <v>203.55</v>
      </c>
      <c r="M143" s="29" t="n">
        <v>168.69</v>
      </c>
      <c r="N143" s="29" t="n">
        <v>20.68</v>
      </c>
      <c r="O143" s="29" t="n">
        <v>52.31</v>
      </c>
      <c r="P143" s="29" t="n">
        <v>34.93</v>
      </c>
      <c r="Q143" s="28" t="n">
        <v>2</v>
      </c>
      <c r="R143" s="29" t="n">
        <v>0</v>
      </c>
      <c r="S143" s="27" t="s">
        <v>55</v>
      </c>
      <c r="T143" s="27"/>
    </row>
    <row r="144" customFormat="false" ht="15" hidden="false" customHeight="false" outlineLevel="0" collapsed="false">
      <c r="A144" s="24" t="s">
        <v>170</v>
      </c>
      <c r="B144" s="24" t="s">
        <v>67</v>
      </c>
      <c r="C144" s="24" t="s">
        <v>56</v>
      </c>
      <c r="D144" s="24" t="s">
        <v>57</v>
      </c>
      <c r="E144" s="24" t="s">
        <v>48</v>
      </c>
      <c r="F144" s="25" t="n">
        <v>51</v>
      </c>
      <c r="G144" s="25" t="n">
        <v>4</v>
      </c>
      <c r="H144" s="26" t="n">
        <v>14.48</v>
      </c>
      <c r="I144" s="25" t="n">
        <v>2</v>
      </c>
      <c r="J144" s="26" t="n">
        <v>27.01</v>
      </c>
      <c r="K144" s="26" t="n">
        <v>35.49</v>
      </c>
      <c r="L144" s="26" t="n">
        <v>0</v>
      </c>
      <c r="M144" s="26" t="n">
        <v>0</v>
      </c>
      <c r="N144" s="26" t="n">
        <v>24.12</v>
      </c>
      <c r="O144" s="26" t="n">
        <v>-8.53</v>
      </c>
      <c r="P144" s="26" t="n">
        <v>-11.3</v>
      </c>
      <c r="Q144" s="25" t="n">
        <v>2</v>
      </c>
      <c r="R144" s="26" t="n">
        <v>0</v>
      </c>
      <c r="S144" s="24" t="s">
        <v>55</v>
      </c>
      <c r="T144" s="24"/>
    </row>
    <row r="145" customFormat="false" ht="15" hidden="false" customHeight="false" outlineLevel="0" collapsed="false">
      <c r="A145" s="27" t="s">
        <v>171</v>
      </c>
      <c r="B145" s="27" t="s">
        <v>67</v>
      </c>
      <c r="C145" s="27" t="s">
        <v>56</v>
      </c>
      <c r="D145" s="27" t="s">
        <v>57</v>
      </c>
      <c r="E145" s="27" t="s">
        <v>48</v>
      </c>
      <c r="F145" s="28" t="n">
        <v>6</v>
      </c>
      <c r="G145" s="28" t="n">
        <v>0</v>
      </c>
      <c r="H145" s="29" t="n">
        <v>0</v>
      </c>
      <c r="I145" s="28" t="n">
        <v>0</v>
      </c>
      <c r="J145" s="29" t="n">
        <v>0</v>
      </c>
      <c r="K145" s="29" t="n">
        <v>0</v>
      </c>
      <c r="L145" s="29" t="n">
        <v>0</v>
      </c>
      <c r="M145" s="29" t="n">
        <v>0</v>
      </c>
      <c r="N145" s="29" t="n">
        <v>0</v>
      </c>
      <c r="O145" s="29" t="n">
        <v>0</v>
      </c>
      <c r="P145" s="29" t="n">
        <v>0</v>
      </c>
      <c r="Q145" s="28" t="n">
        <v>0</v>
      </c>
      <c r="R145" s="29" t="n">
        <v>0</v>
      </c>
      <c r="S145" s="27" t="s">
        <v>55</v>
      </c>
      <c r="T145" s="27"/>
    </row>
    <row r="147" customFormat="false" ht="15" hidden="false" customHeight="false" outlineLevel="0" collapsed="false">
      <c r="A147" s="12" t="s">
        <v>172</v>
      </c>
    </row>
    <row r="148" customFormat="false" ht="21.75" hidden="false" customHeight="true" outlineLevel="0" collapsed="false">
      <c r="A148" s="30" t="s">
        <v>173</v>
      </c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</row>
    <row r="149" customFormat="false" ht="21.75" hidden="false" customHeight="true" outlineLevel="0" collapsed="false">
      <c r="A149" s="30" t="s">
        <v>174</v>
      </c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</row>
    <row r="150" customFormat="false" ht="21.75" hidden="false" customHeight="true" outlineLevel="0" collapsed="false">
      <c r="A150" s="30" t="s">
        <v>175</v>
      </c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</row>
    <row r="151" customFormat="false" ht="21.75" hidden="false" customHeight="true" outlineLevel="0" collapsed="false">
      <c r="A151" s="30" t="s">
        <v>176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</row>
    <row r="152" customFormat="false" ht="21.75" hidden="false" customHeight="true" outlineLevel="0" collapsed="false">
      <c r="A152" s="30" t="s">
        <v>177</v>
      </c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</row>
    <row r="153" customFormat="false" ht="21.75" hidden="false" customHeight="true" outlineLevel="0" collapsed="false">
      <c r="A153" s="30" t="s">
        <v>178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 customFormat="false" ht="21.75" hidden="false" customHeight="true" outlineLevel="0" collapsed="false">
      <c r="A154" s="30" t="s">
        <v>179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 customFormat="false" ht="21.75" hidden="false" customHeight="true" outlineLevel="0" collapsed="false">
      <c r="A155" s="30" t="s">
        <v>180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 customFormat="false" ht="21.75" hidden="false" customHeight="true" outlineLevel="0" collapsed="false">
      <c r="A156" s="30" t="s">
        <v>181</v>
      </c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</sheetData>
  <mergeCells count="9">
    <mergeCell ref="A148:N148"/>
    <mergeCell ref="A149:N149"/>
    <mergeCell ref="A150:N150"/>
    <mergeCell ref="A151:N151"/>
    <mergeCell ref="A152:N152"/>
    <mergeCell ref="A153:N153"/>
    <mergeCell ref="A154:N154"/>
    <mergeCell ref="A155:N155"/>
    <mergeCell ref="A156:N15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9"/>
    <col collapsed="false" customWidth="true" hidden="false" outlineLevel="0" max="5" min="5" style="0" width="7"/>
    <col collapsed="false" customWidth="true" hidden="false" outlineLevel="0" max="7" min="6" style="0" width="11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7" min="16" style="0" width="11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15"/>
  </cols>
  <sheetData>
    <row r="1" customFormat="false" ht="19.7" hidden="false" customHeight="false" outlineLevel="0" collapsed="false">
      <c r="A1" s="17" t="s">
        <v>182</v>
      </c>
    </row>
    <row r="2" customFormat="false" ht="15" hidden="false" customHeight="false" outlineLevel="0" collapsed="false">
      <c r="A2" s="18" t="s">
        <v>183</v>
      </c>
    </row>
    <row r="4" customFormat="false" ht="42" hidden="false" customHeight="true" outlineLevel="0" collapsed="false">
      <c r="A4" s="19" t="s">
        <v>184</v>
      </c>
      <c r="B4" s="19" t="s">
        <v>17</v>
      </c>
      <c r="C4" s="19" t="s">
        <v>18</v>
      </c>
      <c r="D4" s="19" t="s">
        <v>19</v>
      </c>
      <c r="E4" s="19" t="s">
        <v>20</v>
      </c>
      <c r="F4" s="19" t="s">
        <v>185</v>
      </c>
      <c r="G4" s="19" t="s">
        <v>186</v>
      </c>
      <c r="H4" s="19" t="s">
        <v>187</v>
      </c>
      <c r="I4" s="19" t="s">
        <v>188</v>
      </c>
      <c r="J4" s="19" t="s">
        <v>189</v>
      </c>
      <c r="K4" s="19" t="s">
        <v>190</v>
      </c>
      <c r="L4" s="19" t="s">
        <v>191</v>
      </c>
      <c r="M4" s="19" t="s">
        <v>192</v>
      </c>
      <c r="N4" s="19" t="s">
        <v>193</v>
      </c>
      <c r="O4" s="19" t="s">
        <v>23</v>
      </c>
      <c r="P4" s="19" t="s">
        <v>194</v>
      </c>
      <c r="Q4" s="19" t="s">
        <v>195</v>
      </c>
      <c r="R4" s="19" t="s">
        <v>196</v>
      </c>
      <c r="S4" s="19" t="s">
        <v>11</v>
      </c>
      <c r="T4" s="19" t="s">
        <v>197</v>
      </c>
    </row>
    <row r="5" customFormat="false" ht="15" hidden="false" customHeight="false" outlineLevel="0" collapsed="false">
      <c r="A5" s="27" t="s">
        <v>52</v>
      </c>
      <c r="B5" s="28" t="n">
        <f aca="false">SUMIFS('Base Bruta'!$F$5:$F$145,'Base Bruta'!$B$5:$B$145,$A5,'Base Bruta'!$S$5:$S$145,"Sim")</f>
        <v>1574</v>
      </c>
      <c r="C5" s="28" t="n">
        <f aca="false">SUMIFS('Base Bruta'!$G$5:$G$145,'Base Bruta'!$B$5:$B$145,$A5,'Base Bruta'!$S$5:$S$145,"Sim")</f>
        <v>149</v>
      </c>
      <c r="D5" s="28" t="n">
        <f aca="false">SUMIFS('Base Bruta'!$I$5:$I$145,'Base Bruta'!$B$5:$B$145,$A5,'Base Bruta'!$S$5:$S$145,"Sim")</f>
        <v>85</v>
      </c>
      <c r="E5" s="28" t="n">
        <f aca="false">SUMIFS('Base Bruta'!$Q$5:$Q$145,'Base Bruta'!$B$5:$B$145,$A5,'Base Bruta'!$S$5:$S$145,"Sim")</f>
        <v>48</v>
      </c>
      <c r="F5" s="31" t="n">
        <f aca="false">IFERROR(D5/B5,0)</f>
        <v>0.054002541296061</v>
      </c>
      <c r="G5" s="31" t="n">
        <f aca="false">IFERROR(E5/B5,0)</f>
        <v>0.0304955527318933</v>
      </c>
      <c r="H5" s="32" t="n">
        <f aca="false">SUMIFS('Base Bruta'!$H$5:$H$145,'Base Bruta'!$B$5:$B$145,$A5,'Base Bruta'!$S$5:$S$145,"Sim")*Dashboard!$B$5</f>
        <v>3441.745</v>
      </c>
      <c r="I5" s="32" t="n">
        <f aca="false">SUMIFS('Base Bruta'!$J$5:$J$145,'Base Bruta'!$B$5:$B$145,$A5,'Base Bruta'!$S$5:$S$145,"Sim")*Dashboard!$B$5</f>
        <v>5139.185</v>
      </c>
      <c r="J5" s="32" t="n">
        <f aca="false">IFERROR(H5/D5,0)</f>
        <v>40.4911176470588</v>
      </c>
      <c r="K5" s="32" t="n">
        <f aca="false">IFERROR(I5/D5,0)</f>
        <v>60.461</v>
      </c>
      <c r="L5" s="32" t="n">
        <f aca="false">I5-H5</f>
        <v>1697.44</v>
      </c>
      <c r="M5" s="32" t="n">
        <f aca="false">SUMIFS('Base Bruta'!$L$5:$L$145,'Base Bruta'!$B$5:$B$145,$A5,'Base Bruta'!$S$5:$S$145,"Sim")*Dashboard!$B$5</f>
        <v>219.8535</v>
      </c>
      <c r="N5" s="32" t="n">
        <f aca="false">SUMIFS('Base Bruta'!$N$5:$N$145,'Base Bruta'!$B$5:$B$145,$A5,'Base Bruta'!$S$5:$S$145,"Sim")*Dashboard!$B$5</f>
        <v>2734.1865</v>
      </c>
      <c r="O5" s="32" t="n">
        <f aca="false">M5+N5</f>
        <v>2954.04</v>
      </c>
      <c r="P5" s="33" t="n">
        <f aca="false">IFERROR(O5/I5,0)</f>
        <v>0.574807094899289</v>
      </c>
      <c r="Q5" s="31" t="n">
        <f aca="false">IFERROR(M5/O5,0)</f>
        <v>0.0744246861924686</v>
      </c>
      <c r="R5" s="32" t="n">
        <f aca="false">E5*Dashboard!$B$6</f>
        <v>7680</v>
      </c>
      <c r="S5" s="32" t="n">
        <f aca="false">SUMIFS('Base Bruta'!$O$5:$O$145,'Base Bruta'!$B$5:$B$145,$A5,'Base Bruta'!$S$5:$S$145,"Sim")*Dashboard!$B$5</f>
        <v>780.431</v>
      </c>
      <c r="T5" s="32" t="n">
        <f aca="false">SUMIFS('Base Bruta'!$P$5:$P$145,'Base Bruta'!$B$5:$B$145,$A5,'Base Bruta'!$S$5:$S$145,"Sim")*Dashboard!$B$5</f>
        <v>293.9105</v>
      </c>
    </row>
    <row r="6" customFormat="false" ht="15" hidden="false" customHeight="false" outlineLevel="0" collapsed="false">
      <c r="A6" s="24" t="s">
        <v>60</v>
      </c>
      <c r="B6" s="25" t="n">
        <f aca="false">SUMIFS('Base Bruta'!$F$5:$F$145,'Base Bruta'!$B$5:$B$145,$A6,'Base Bruta'!$S$5:$S$145,"Sim")</f>
        <v>82</v>
      </c>
      <c r="C6" s="25" t="n">
        <f aca="false">SUMIFS('Base Bruta'!$G$5:$G$145,'Base Bruta'!$B$5:$B$145,$A6,'Base Bruta'!$S$5:$S$145,"Sim")</f>
        <v>1</v>
      </c>
      <c r="D6" s="25" t="n">
        <f aca="false">SUMIFS('Base Bruta'!$I$5:$I$145,'Base Bruta'!$B$5:$B$145,$A6,'Base Bruta'!$S$5:$S$145,"Sim")</f>
        <v>0</v>
      </c>
      <c r="E6" s="25" t="n">
        <f aca="false">SUMIFS('Base Bruta'!$Q$5:$Q$145,'Base Bruta'!$B$5:$B$145,$A6,'Base Bruta'!$S$5:$S$145,"Sim")</f>
        <v>0</v>
      </c>
      <c r="F6" s="34" t="n">
        <f aca="false">IFERROR(D6/B6,0)</f>
        <v>0</v>
      </c>
      <c r="G6" s="34" t="n">
        <f aca="false">IFERROR(E6/B6,0)</f>
        <v>0</v>
      </c>
      <c r="H6" s="35" t="n">
        <f aca="false">SUMIFS('Base Bruta'!$H$5:$H$145,'Base Bruta'!$B$5:$B$145,$A6,'Base Bruta'!$S$5:$S$145,"Sim")*Dashboard!$B$5</f>
        <v>0</v>
      </c>
      <c r="I6" s="35" t="n">
        <f aca="false">SUMIFS('Base Bruta'!$J$5:$J$145,'Base Bruta'!$B$5:$B$145,$A6,'Base Bruta'!$S$5:$S$145,"Sim")*Dashboard!$B$5</f>
        <v>0</v>
      </c>
      <c r="J6" s="35" t="n">
        <f aca="false">IFERROR(H6/D6,0)</f>
        <v>0</v>
      </c>
      <c r="K6" s="35" t="n">
        <f aca="false">IFERROR(I6/D6,0)</f>
        <v>0</v>
      </c>
      <c r="L6" s="35" t="n">
        <f aca="false">I6-H6</f>
        <v>0</v>
      </c>
      <c r="M6" s="35" t="n">
        <f aca="false">SUMIFS('Base Bruta'!$L$5:$L$145,'Base Bruta'!$B$5:$B$145,$A6,'Base Bruta'!$S$5:$S$145,"Sim")*Dashboard!$B$5</f>
        <v>0</v>
      </c>
      <c r="N6" s="35" t="n">
        <f aca="false">SUMIFS('Base Bruta'!$N$5:$N$145,'Base Bruta'!$B$5:$B$145,$A6,'Base Bruta'!$S$5:$S$145,"Sim")*Dashboard!$B$5</f>
        <v>0</v>
      </c>
      <c r="O6" s="35" t="n">
        <f aca="false">M6+N6</f>
        <v>0</v>
      </c>
      <c r="P6" s="36" t="n">
        <f aca="false">IFERROR(O6/I6,0)</f>
        <v>0</v>
      </c>
      <c r="Q6" s="34" t="n">
        <f aca="false">IFERROR(M6/O6,0)</f>
        <v>0</v>
      </c>
      <c r="R6" s="35" t="n">
        <f aca="false">E6*Dashboard!$B$6</f>
        <v>0</v>
      </c>
      <c r="S6" s="35" t="n">
        <f aca="false">SUMIFS('Base Bruta'!$O$5:$O$145,'Base Bruta'!$B$5:$B$145,$A6,'Base Bruta'!$S$5:$S$145,"Sim")*Dashboard!$B$5</f>
        <v>0</v>
      </c>
      <c r="T6" s="35" t="n">
        <f aca="false">SUMIFS('Base Bruta'!$P$5:$P$145,'Base Bruta'!$B$5:$B$145,$A6,'Base Bruta'!$S$5:$S$145,"Sim")*Dashboard!$B$5</f>
        <v>0</v>
      </c>
    </row>
    <row r="7" customFormat="false" ht="15" hidden="false" customHeight="false" outlineLevel="0" collapsed="false">
      <c r="A7" s="27" t="s">
        <v>74</v>
      </c>
      <c r="B7" s="28" t="n">
        <f aca="false">SUMIFS('Base Bruta'!$F$5:$F$145,'Base Bruta'!$B$5:$B$145,$A7,'Base Bruta'!$S$5:$S$145,"Sim")</f>
        <v>1338</v>
      </c>
      <c r="C7" s="28" t="n">
        <f aca="false">SUMIFS('Base Bruta'!$G$5:$G$145,'Base Bruta'!$B$5:$B$145,$A7,'Base Bruta'!$S$5:$S$145,"Sim")</f>
        <v>27</v>
      </c>
      <c r="D7" s="28" t="n">
        <f aca="false">SUMIFS('Base Bruta'!$I$5:$I$145,'Base Bruta'!$B$5:$B$145,$A7,'Base Bruta'!$S$5:$S$145,"Sim")</f>
        <v>8</v>
      </c>
      <c r="E7" s="28" t="n">
        <f aca="false">SUMIFS('Base Bruta'!$Q$5:$Q$145,'Base Bruta'!$B$5:$B$145,$A7,'Base Bruta'!$S$5:$S$145,"Sim")</f>
        <v>1</v>
      </c>
      <c r="F7" s="31" t="n">
        <f aca="false">IFERROR(D7/B7,0)</f>
        <v>0.00597907324364724</v>
      </c>
      <c r="G7" s="31" t="n">
        <f aca="false">IFERROR(E7/B7,0)</f>
        <v>0.000747384155455904</v>
      </c>
      <c r="H7" s="32" t="n">
        <f aca="false">SUMIFS('Base Bruta'!$H$5:$H$145,'Base Bruta'!$B$5:$B$145,$A7,'Base Bruta'!$S$5:$S$145,"Sim")*Dashboard!$B$5</f>
        <v>89.919</v>
      </c>
      <c r="I7" s="32" t="n">
        <f aca="false">SUMIFS('Base Bruta'!$J$5:$J$145,'Base Bruta'!$B$5:$B$145,$A7,'Base Bruta'!$S$5:$S$145,"Sim")*Dashboard!$B$5</f>
        <v>139.874</v>
      </c>
      <c r="J7" s="32" t="n">
        <f aca="false">IFERROR(H7/D7,0)</f>
        <v>11.239875</v>
      </c>
      <c r="K7" s="32" t="n">
        <f aca="false">IFERROR(I7/D7,0)</f>
        <v>17.48425</v>
      </c>
      <c r="L7" s="32" t="n">
        <f aca="false">I7-H7</f>
        <v>49.955</v>
      </c>
      <c r="M7" s="32" t="n">
        <f aca="false">SUMIFS('Base Bruta'!$L$5:$L$145,'Base Bruta'!$B$5:$B$145,$A7,'Base Bruta'!$S$5:$S$145,"Sim")*Dashboard!$B$5</f>
        <v>0.4635</v>
      </c>
      <c r="N7" s="32" t="n">
        <f aca="false">SUMIFS('Base Bruta'!$N$5:$N$145,'Base Bruta'!$B$5:$B$145,$A7,'Base Bruta'!$S$5:$S$145,"Sim")*Dashboard!$B$5</f>
        <v>138.9985</v>
      </c>
      <c r="O7" s="32" t="n">
        <f aca="false">M7+N7</f>
        <v>139.462</v>
      </c>
      <c r="P7" s="33" t="n">
        <f aca="false">IFERROR(O7/I7,0)</f>
        <v>0.997054491899853</v>
      </c>
      <c r="Q7" s="31" t="n">
        <f aca="false">IFERROR(M7/O7,0)</f>
        <v>0.00332348596750369</v>
      </c>
      <c r="R7" s="32" t="n">
        <f aca="false">E7*Dashboard!$B$6</f>
        <v>160</v>
      </c>
      <c r="S7" s="32" t="n">
        <f aca="false">SUMIFS('Base Bruta'!$O$5:$O$145,'Base Bruta'!$B$5:$B$145,$A7,'Base Bruta'!$S$5:$S$145,"Sim")*Dashboard!$B$5</f>
        <v>109.5405</v>
      </c>
      <c r="T7" s="32" t="n">
        <f aca="false">SUMIFS('Base Bruta'!$P$5:$P$145,'Base Bruta'!$B$5:$B$145,$A7,'Base Bruta'!$S$5:$S$145,"Sim")*Dashboard!$B$5</f>
        <v>73.439</v>
      </c>
    </row>
    <row r="8" customFormat="false" ht="15" hidden="false" customHeight="false" outlineLevel="0" collapsed="false">
      <c r="A8" s="24" t="s">
        <v>79</v>
      </c>
      <c r="B8" s="25" t="n">
        <f aca="false">SUMIFS('Base Bruta'!$F$5:$F$145,'Base Bruta'!$B$5:$B$145,$A8,'Base Bruta'!$S$5:$S$145,"Sim")</f>
        <v>676</v>
      </c>
      <c r="C8" s="25" t="n">
        <f aca="false">SUMIFS('Base Bruta'!$G$5:$G$145,'Base Bruta'!$B$5:$B$145,$A8,'Base Bruta'!$S$5:$S$145,"Sim")</f>
        <v>62</v>
      </c>
      <c r="D8" s="25" t="n">
        <f aca="false">SUMIFS('Base Bruta'!$I$5:$I$145,'Base Bruta'!$B$5:$B$145,$A8,'Base Bruta'!$S$5:$S$145,"Sim")</f>
        <v>20</v>
      </c>
      <c r="E8" s="25" t="n">
        <f aca="false">SUMIFS('Base Bruta'!$Q$5:$Q$145,'Base Bruta'!$B$5:$B$145,$A8,'Base Bruta'!$S$5:$S$145,"Sim")</f>
        <v>12</v>
      </c>
      <c r="F8" s="34" t="n">
        <f aca="false">IFERROR(D8/B8,0)</f>
        <v>0.029585798816568</v>
      </c>
      <c r="G8" s="34" t="n">
        <f aca="false">IFERROR(E8/B8,0)</f>
        <v>0.0177514792899408</v>
      </c>
      <c r="H8" s="35" t="n">
        <f aca="false">SUMIFS('Base Bruta'!$H$5:$H$145,'Base Bruta'!$B$5:$B$145,$A8,'Base Bruta'!$S$5:$S$145,"Sim")*Dashboard!$B$5</f>
        <v>534.7245</v>
      </c>
      <c r="I8" s="35" t="n">
        <f aca="false">SUMIFS('Base Bruta'!$J$5:$J$145,'Base Bruta'!$B$5:$B$145,$A8,'Base Bruta'!$S$5:$S$145,"Sim")*Dashboard!$B$5</f>
        <v>594.722</v>
      </c>
      <c r="J8" s="35" t="n">
        <f aca="false">IFERROR(H8/D8,0)</f>
        <v>26.736225</v>
      </c>
      <c r="K8" s="35" t="n">
        <f aca="false">IFERROR(I8/D8,0)</f>
        <v>29.7361</v>
      </c>
      <c r="L8" s="35" t="n">
        <f aca="false">I8-H8</f>
        <v>59.9974999999999</v>
      </c>
      <c r="M8" s="35" t="n">
        <f aca="false">SUMIFS('Base Bruta'!$L$5:$L$145,'Base Bruta'!$B$5:$B$145,$A8,'Base Bruta'!$S$5:$S$145,"Sim")*Dashboard!$B$5</f>
        <v>29.87</v>
      </c>
      <c r="N8" s="35" t="n">
        <f aca="false">SUMIFS('Base Bruta'!$N$5:$N$145,'Base Bruta'!$B$5:$B$145,$A8,'Base Bruta'!$S$5:$S$145,"Sim")*Dashboard!$B$5</f>
        <v>430.54</v>
      </c>
      <c r="O8" s="35" t="n">
        <f aca="false">M8+N8</f>
        <v>460.41</v>
      </c>
      <c r="P8" s="36" t="n">
        <f aca="false">IFERROR(O8/I8,0)</f>
        <v>0.774160027710426</v>
      </c>
      <c r="Q8" s="34" t="n">
        <f aca="false">IFERROR(M8/O8,0)</f>
        <v>0.0648769574944072</v>
      </c>
      <c r="R8" s="35" t="n">
        <f aca="false">E8*Dashboard!$B$6</f>
        <v>1920</v>
      </c>
      <c r="S8" s="35" t="n">
        <f aca="false">SUMIFS('Base Bruta'!$O$5:$O$145,'Base Bruta'!$B$5:$B$145,$A8,'Base Bruta'!$S$5:$S$145,"Sim")*Dashboard!$B$5</f>
        <v>198.687</v>
      </c>
      <c r="T8" s="35" t="n">
        <f aca="false">SUMIFS('Base Bruta'!$P$5:$P$145,'Base Bruta'!$B$5:$B$145,$A8,'Base Bruta'!$S$5:$S$145,"Sim")*Dashboard!$B$5</f>
        <v>120.716</v>
      </c>
    </row>
    <row r="9" customFormat="false" ht="15" hidden="false" customHeight="false" outlineLevel="0" collapsed="false">
      <c r="A9" s="27" t="s">
        <v>84</v>
      </c>
      <c r="B9" s="28" t="n">
        <f aca="false">SUMIFS('Base Bruta'!$F$5:$F$145,'Base Bruta'!$B$5:$B$145,$A9,'Base Bruta'!$S$5:$S$145,"Sim")</f>
        <v>636</v>
      </c>
      <c r="C9" s="28" t="n">
        <f aca="false">SUMIFS('Base Bruta'!$G$5:$G$145,'Base Bruta'!$B$5:$B$145,$A9,'Base Bruta'!$S$5:$S$145,"Sim")</f>
        <v>23</v>
      </c>
      <c r="D9" s="28" t="n">
        <f aca="false">SUMIFS('Base Bruta'!$I$5:$I$145,'Base Bruta'!$B$5:$B$145,$A9,'Base Bruta'!$S$5:$S$145,"Sim")</f>
        <v>18</v>
      </c>
      <c r="E9" s="28" t="n">
        <f aca="false">SUMIFS('Base Bruta'!$Q$5:$Q$145,'Base Bruta'!$B$5:$B$145,$A9,'Base Bruta'!$S$5:$S$145,"Sim")</f>
        <v>17</v>
      </c>
      <c r="F9" s="31" t="n">
        <f aca="false">IFERROR(D9/B9,0)</f>
        <v>0.0283018867924528</v>
      </c>
      <c r="G9" s="31" t="n">
        <f aca="false">IFERROR(E9/B9,0)</f>
        <v>0.0267295597484277</v>
      </c>
      <c r="H9" s="32" t="n">
        <f aca="false">SUMIFS('Base Bruta'!$H$5:$H$145,'Base Bruta'!$B$5:$B$145,$A9,'Base Bruta'!$S$5:$S$145,"Sim")*Dashboard!$B$5</f>
        <v>669.5515</v>
      </c>
      <c r="I9" s="32" t="n">
        <f aca="false">SUMIFS('Base Bruta'!$J$5:$J$145,'Base Bruta'!$B$5:$B$145,$A9,'Base Bruta'!$S$5:$S$145,"Sim")*Dashboard!$B$5</f>
        <v>1032.987</v>
      </c>
      <c r="J9" s="32" t="n">
        <f aca="false">IFERROR(H9/D9,0)</f>
        <v>37.1973055555556</v>
      </c>
      <c r="K9" s="32" t="n">
        <f aca="false">IFERROR(I9/D9,0)</f>
        <v>57.3881666666667</v>
      </c>
      <c r="L9" s="32" t="n">
        <f aca="false">I9-H9</f>
        <v>363.4355</v>
      </c>
      <c r="M9" s="32" t="n">
        <f aca="false">SUMIFS('Base Bruta'!$L$5:$L$145,'Base Bruta'!$B$5:$B$145,$A9,'Base Bruta'!$S$5:$S$145,"Sim")*Dashboard!$B$5</f>
        <v>0</v>
      </c>
      <c r="N9" s="32" t="n">
        <f aca="false">SUMIFS('Base Bruta'!$N$5:$N$145,'Base Bruta'!$B$5:$B$145,$A9,'Base Bruta'!$S$5:$S$145,"Sim")*Dashboard!$B$5</f>
        <v>1335.395</v>
      </c>
      <c r="O9" s="32" t="n">
        <f aca="false">M9+N9</f>
        <v>1335.395</v>
      </c>
      <c r="P9" s="33" t="n">
        <f aca="false">IFERROR(O9/I9,0)</f>
        <v>1.2927510220361</v>
      </c>
      <c r="Q9" s="31" t="n">
        <f aca="false">IFERROR(M9/O9,0)</f>
        <v>0</v>
      </c>
      <c r="R9" s="32" t="n">
        <f aca="false">E9*Dashboard!$B$6</f>
        <v>2720</v>
      </c>
      <c r="S9" s="32" t="n">
        <f aca="false">SUMIFS('Base Bruta'!$O$5:$O$145,'Base Bruta'!$B$5:$B$145,$A9,'Base Bruta'!$S$5:$S$145,"Sim")*Dashboard!$B$5</f>
        <v>176.7995</v>
      </c>
      <c r="T9" s="32" t="n">
        <f aca="false">SUMIFS('Base Bruta'!$P$5:$P$145,'Base Bruta'!$B$5:$B$145,$A9,'Base Bruta'!$S$5:$S$145,"Sim")*Dashboard!$B$5</f>
        <v>-43.981</v>
      </c>
    </row>
    <row r="10" customFormat="false" ht="15" hidden="false" customHeight="false" outlineLevel="0" collapsed="false">
      <c r="A10" s="24" t="s">
        <v>90</v>
      </c>
      <c r="B10" s="25" t="n">
        <f aca="false">SUMIFS('Base Bruta'!$F$5:$F$145,'Base Bruta'!$B$5:$B$145,$A10,'Base Bruta'!$S$5:$S$145,"Sim")</f>
        <v>31254</v>
      </c>
      <c r="C10" s="25" t="n">
        <f aca="false">SUMIFS('Base Bruta'!$G$5:$G$145,'Base Bruta'!$B$5:$B$145,$A10,'Base Bruta'!$S$5:$S$145,"Sim")</f>
        <v>1018</v>
      </c>
      <c r="D10" s="25" t="n">
        <f aca="false">SUMIFS('Base Bruta'!$I$5:$I$145,'Base Bruta'!$B$5:$B$145,$A10,'Base Bruta'!$S$5:$S$145,"Sim")</f>
        <v>521</v>
      </c>
      <c r="E10" s="25" t="n">
        <f aca="false">SUMIFS('Base Bruta'!$Q$5:$Q$145,'Base Bruta'!$B$5:$B$145,$A10,'Base Bruta'!$S$5:$S$145,"Sim")</f>
        <v>273</v>
      </c>
      <c r="F10" s="34" t="n">
        <f aca="false">IFERROR(D10/B10,0)</f>
        <v>0.0166698662571191</v>
      </c>
      <c r="G10" s="34" t="n">
        <f aca="false">IFERROR(E10/B10,0)</f>
        <v>0.00873488193511231</v>
      </c>
      <c r="H10" s="35" t="n">
        <f aca="false">SUMIFS('Base Bruta'!$H$5:$H$145,'Base Bruta'!$B$5:$B$145,$A10,'Base Bruta'!$S$5:$S$145,"Sim")*Dashboard!$B$5</f>
        <v>12954.7735</v>
      </c>
      <c r="I10" s="35" t="n">
        <f aca="false">SUMIFS('Base Bruta'!$J$5:$J$145,'Base Bruta'!$B$5:$B$145,$A10,'Base Bruta'!$S$5:$S$145,"Sim")*Dashboard!$B$5</f>
        <v>25653.592</v>
      </c>
      <c r="J10" s="35" t="n">
        <f aca="false">IFERROR(H10/D10,0)</f>
        <v>24.8652082533589</v>
      </c>
      <c r="K10" s="35" t="n">
        <f aca="false">IFERROR(I10/D10,0)</f>
        <v>49.2391401151632</v>
      </c>
      <c r="L10" s="35" t="n">
        <f aca="false">I10-H10</f>
        <v>12698.8185</v>
      </c>
      <c r="M10" s="35" t="n">
        <f aca="false">SUMIFS('Base Bruta'!$L$5:$L$145,'Base Bruta'!$B$5:$B$145,$A10,'Base Bruta'!$S$5:$S$145,"Sim")*Dashboard!$B$5</f>
        <v>7206.498</v>
      </c>
      <c r="N10" s="35" t="n">
        <f aca="false">SUMIFS('Base Bruta'!$N$5:$N$145,'Base Bruta'!$B$5:$B$145,$A10,'Base Bruta'!$S$5:$S$145,"Sim")*Dashboard!$B$5</f>
        <v>23856.0875</v>
      </c>
      <c r="O10" s="35" t="n">
        <f aca="false">M10+N10</f>
        <v>31062.5855</v>
      </c>
      <c r="P10" s="36" t="n">
        <f aca="false">IFERROR(O10/I10,0)</f>
        <v>1.2108474127132</v>
      </c>
      <c r="Q10" s="34" t="n">
        <f aca="false">IFERROR(M10/O10,0)</f>
        <v>0.231999297032116</v>
      </c>
      <c r="R10" s="35" t="n">
        <f aca="false">E10*Dashboard!$B$6</f>
        <v>43680</v>
      </c>
      <c r="S10" s="35" t="n">
        <f aca="false">SUMIFS('Base Bruta'!$O$5:$O$145,'Base Bruta'!$B$5:$B$145,$A10,'Base Bruta'!$S$5:$S$145,"Sim")*Dashboard!$B$5</f>
        <v>13136.517</v>
      </c>
      <c r="T10" s="35" t="n">
        <f aca="false">SUMIFS('Base Bruta'!$P$5:$P$145,'Base Bruta'!$B$5:$B$145,$A10,'Base Bruta'!$S$5:$S$145,"Sim")*Dashboard!$B$5</f>
        <v>8531.7475</v>
      </c>
    </row>
    <row r="11" customFormat="false" ht="15" hidden="false" customHeight="false" outlineLevel="0" collapsed="false">
      <c r="A11" s="27" t="s">
        <v>92</v>
      </c>
      <c r="B11" s="28" t="n">
        <f aca="false">SUMIFS('Base Bruta'!$F$5:$F$145,'Base Bruta'!$B$5:$B$145,$A11,'Base Bruta'!$S$5:$S$145,"Sim")</f>
        <v>21613</v>
      </c>
      <c r="C11" s="28" t="n">
        <f aca="false">SUMIFS('Base Bruta'!$G$5:$G$145,'Base Bruta'!$B$5:$B$145,$A11,'Base Bruta'!$S$5:$S$145,"Sim")</f>
        <v>433</v>
      </c>
      <c r="D11" s="28" t="n">
        <f aca="false">SUMIFS('Base Bruta'!$I$5:$I$145,'Base Bruta'!$B$5:$B$145,$A11,'Base Bruta'!$S$5:$S$145,"Sim")</f>
        <v>247</v>
      </c>
      <c r="E11" s="28" t="n">
        <f aca="false">SUMIFS('Base Bruta'!$Q$5:$Q$145,'Base Bruta'!$B$5:$B$145,$A11,'Base Bruta'!$S$5:$S$145,"Sim")</f>
        <v>130</v>
      </c>
      <c r="F11" s="31" t="n">
        <f aca="false">IFERROR(D11/B11,0)</f>
        <v>0.0114283070374312</v>
      </c>
      <c r="G11" s="31" t="n">
        <f aca="false">IFERROR(E11/B11,0)</f>
        <v>0.00601489844075325</v>
      </c>
      <c r="H11" s="32" t="n">
        <f aca="false">SUMIFS('Base Bruta'!$H$5:$H$145,'Base Bruta'!$B$5:$B$145,$A11,'Base Bruta'!$S$5:$S$145,"Sim")*Dashboard!$B$5</f>
        <v>6230.47</v>
      </c>
      <c r="I11" s="32" t="n">
        <f aca="false">SUMIFS('Base Bruta'!$J$5:$J$145,'Base Bruta'!$B$5:$B$145,$A11,'Base Bruta'!$S$5:$S$145,"Sim")*Dashboard!$B$5</f>
        <v>10635.8315</v>
      </c>
      <c r="J11" s="32" t="n">
        <f aca="false">IFERROR(H11/D11,0)</f>
        <v>25.2245748987854</v>
      </c>
      <c r="K11" s="32" t="n">
        <f aca="false">IFERROR(I11/D11,0)</f>
        <v>43.0600465587045</v>
      </c>
      <c r="L11" s="32" t="n">
        <f aca="false">I11-H11</f>
        <v>4405.3615</v>
      </c>
      <c r="M11" s="32" t="n">
        <f aca="false">SUMIFS('Base Bruta'!$L$5:$L$145,'Base Bruta'!$B$5:$B$145,$A11,'Base Bruta'!$S$5:$S$145,"Sim")*Dashboard!$B$5</f>
        <v>2551.516</v>
      </c>
      <c r="N11" s="32" t="n">
        <f aca="false">SUMIFS('Base Bruta'!$N$5:$N$145,'Base Bruta'!$B$5:$B$145,$A11,'Base Bruta'!$S$5:$S$145,"Sim")*Dashboard!$B$5</f>
        <v>23443.933</v>
      </c>
      <c r="O11" s="32" t="n">
        <f aca="false">M11+N11</f>
        <v>25995.449</v>
      </c>
      <c r="P11" s="33" t="n">
        <f aca="false">IFERROR(O11/I11,0)</f>
        <v>2.44413885270747</v>
      </c>
      <c r="Q11" s="31" t="n">
        <f aca="false">IFERROR(M11/O11,0)</f>
        <v>0.0981524112162864</v>
      </c>
      <c r="R11" s="32" t="n">
        <f aca="false">E11*Dashboard!$B$6</f>
        <v>20800</v>
      </c>
      <c r="S11" s="32" t="n">
        <f aca="false">SUMIFS('Base Bruta'!$O$5:$O$145,'Base Bruta'!$B$5:$B$145,$A11,'Base Bruta'!$S$5:$S$145,"Sim")*Dashboard!$B$5</f>
        <v>11713.7265</v>
      </c>
      <c r="T11" s="32" t="n">
        <f aca="false">SUMIFS('Base Bruta'!$P$5:$P$145,'Base Bruta'!$B$5:$B$145,$A11,'Base Bruta'!$S$5:$S$145,"Sim")*Dashboard!$B$5</f>
        <v>7360.998</v>
      </c>
    </row>
    <row r="12" customFormat="false" ht="15" hidden="false" customHeight="false" outlineLevel="0" collapsed="false">
      <c r="A12" s="24" t="s">
        <v>98</v>
      </c>
      <c r="B12" s="25" t="n">
        <f aca="false">SUMIFS('Base Bruta'!$F$5:$F$145,'Base Bruta'!$B$5:$B$145,$A12,'Base Bruta'!$S$5:$S$145,"Sim")</f>
        <v>3851</v>
      </c>
      <c r="C12" s="25" t="n">
        <f aca="false">SUMIFS('Base Bruta'!$G$5:$G$145,'Base Bruta'!$B$5:$B$145,$A12,'Base Bruta'!$S$5:$S$145,"Sim")</f>
        <v>31</v>
      </c>
      <c r="D12" s="25" t="n">
        <f aca="false">SUMIFS('Base Bruta'!$I$5:$I$145,'Base Bruta'!$B$5:$B$145,$A12,'Base Bruta'!$S$5:$S$145,"Sim")</f>
        <v>17</v>
      </c>
      <c r="E12" s="25" t="n">
        <f aca="false">SUMIFS('Base Bruta'!$Q$5:$Q$145,'Base Bruta'!$B$5:$B$145,$A12,'Base Bruta'!$S$5:$S$145,"Sim")</f>
        <v>11</v>
      </c>
      <c r="F12" s="34" t="n">
        <f aca="false">IFERROR(D12/B12,0)</f>
        <v>0.00441443780836147</v>
      </c>
      <c r="G12" s="34" t="n">
        <f aca="false">IFERROR(E12/B12,0)</f>
        <v>0.00285640093482212</v>
      </c>
      <c r="H12" s="35" t="n">
        <f aca="false">SUMIFS('Base Bruta'!$H$5:$H$145,'Base Bruta'!$B$5:$B$145,$A12,'Base Bruta'!$S$5:$S$145,"Sim")*Dashboard!$B$5</f>
        <v>769.5645</v>
      </c>
      <c r="I12" s="35" t="n">
        <f aca="false">SUMIFS('Base Bruta'!$J$5:$J$145,'Base Bruta'!$B$5:$B$145,$A12,'Base Bruta'!$S$5:$S$145,"Sim")*Dashboard!$B$5</f>
        <v>1574.9215</v>
      </c>
      <c r="J12" s="35" t="n">
        <f aca="false">IFERROR(H12/D12,0)</f>
        <v>45.2685</v>
      </c>
      <c r="K12" s="35" t="n">
        <f aca="false">IFERROR(I12/D12,0)</f>
        <v>92.6424411764706</v>
      </c>
      <c r="L12" s="35" t="n">
        <f aca="false">I12-H12</f>
        <v>805.357</v>
      </c>
      <c r="M12" s="35" t="n">
        <f aca="false">SUMIFS('Base Bruta'!$L$5:$L$145,'Base Bruta'!$B$5:$B$145,$A12,'Base Bruta'!$S$5:$S$145,"Sim")*Dashboard!$B$5</f>
        <v>48.9765</v>
      </c>
      <c r="N12" s="35" t="n">
        <f aca="false">SUMIFS('Base Bruta'!$N$5:$N$145,'Base Bruta'!$B$5:$B$145,$A12,'Base Bruta'!$S$5:$S$145,"Sim")*Dashboard!$B$5</f>
        <v>1669.6815</v>
      </c>
      <c r="O12" s="35" t="n">
        <f aca="false">M12+N12</f>
        <v>1718.658</v>
      </c>
      <c r="P12" s="36" t="n">
        <f aca="false">IFERROR(O12/I12,0)</f>
        <v>1.09126581864556</v>
      </c>
      <c r="Q12" s="34" t="n">
        <f aca="false">IFERROR(M12/O12,0)</f>
        <v>0.0284969435454872</v>
      </c>
      <c r="R12" s="35" t="n">
        <f aca="false">E12*Dashboard!$B$6</f>
        <v>1760</v>
      </c>
      <c r="S12" s="35" t="n">
        <f aca="false">SUMIFS('Base Bruta'!$O$5:$O$145,'Base Bruta'!$B$5:$B$145,$A12,'Base Bruta'!$S$5:$S$145,"Sim")*Dashboard!$B$5</f>
        <v>366.2165</v>
      </c>
      <c r="T12" s="35" t="n">
        <f aca="false">SUMIFS('Base Bruta'!$P$5:$P$145,'Base Bruta'!$B$5:$B$145,$A12,'Base Bruta'!$S$5:$S$145,"Sim")*Dashboard!$B$5</f>
        <v>72.0485</v>
      </c>
    </row>
    <row r="13" customFormat="false" ht="15" hidden="false" customHeight="false" outlineLevel="0" collapsed="false">
      <c r="A13" s="27" t="s">
        <v>103</v>
      </c>
      <c r="B13" s="28" t="n">
        <f aca="false">SUMIFS('Base Bruta'!$F$5:$F$145,'Base Bruta'!$B$5:$B$145,$A13,'Base Bruta'!$S$5:$S$145,"Sim")</f>
        <v>7137</v>
      </c>
      <c r="C13" s="28" t="n">
        <f aca="false">SUMIFS('Base Bruta'!$G$5:$G$145,'Base Bruta'!$B$5:$B$145,$A13,'Base Bruta'!$S$5:$S$145,"Sim")</f>
        <v>223</v>
      </c>
      <c r="D13" s="28" t="n">
        <f aca="false">SUMIFS('Base Bruta'!$I$5:$I$145,'Base Bruta'!$B$5:$B$145,$A13,'Base Bruta'!$S$5:$S$145,"Sim")</f>
        <v>125</v>
      </c>
      <c r="E13" s="28" t="n">
        <f aca="false">SUMIFS('Base Bruta'!$Q$5:$Q$145,'Base Bruta'!$B$5:$B$145,$A13,'Base Bruta'!$S$5:$S$145,"Sim")</f>
        <v>54</v>
      </c>
      <c r="F13" s="31" t="n">
        <f aca="false">IFERROR(D13/B13,0)</f>
        <v>0.0175143617766569</v>
      </c>
      <c r="G13" s="31" t="n">
        <f aca="false">IFERROR(E13/B13,0)</f>
        <v>0.00756620428751576</v>
      </c>
      <c r="H13" s="32" t="n">
        <f aca="false">SUMIFS('Base Bruta'!$H$5:$H$145,'Base Bruta'!$B$5:$B$145,$A13,'Base Bruta'!$S$5:$S$145,"Sim")*Dashboard!$B$5</f>
        <v>7923.0175</v>
      </c>
      <c r="I13" s="32" t="n">
        <f aca="false">SUMIFS('Base Bruta'!$J$5:$J$145,'Base Bruta'!$B$5:$B$145,$A13,'Base Bruta'!$S$5:$S$145,"Sim")*Dashboard!$B$5</f>
        <v>11145.218</v>
      </c>
      <c r="J13" s="32" t="n">
        <f aca="false">IFERROR(H13/D13,0)</f>
        <v>63.38414</v>
      </c>
      <c r="K13" s="32" t="n">
        <f aca="false">IFERROR(I13/D13,0)</f>
        <v>89.161744</v>
      </c>
      <c r="L13" s="32" t="n">
        <f aca="false">I13-H13</f>
        <v>3222.2005</v>
      </c>
      <c r="M13" s="32" t="n">
        <f aca="false">SUMIFS('Base Bruta'!$L$5:$L$145,'Base Bruta'!$B$5:$B$145,$A13,'Base Bruta'!$S$5:$S$145,"Sim")*Dashboard!$B$5</f>
        <v>780.534</v>
      </c>
      <c r="N13" s="32" t="n">
        <f aca="false">SUMIFS('Base Bruta'!$N$5:$N$145,'Base Bruta'!$B$5:$B$145,$A13,'Base Bruta'!$S$5:$S$145,"Sim")*Dashboard!$B$5</f>
        <v>14403.9835</v>
      </c>
      <c r="O13" s="32" t="n">
        <f aca="false">M13+N13</f>
        <v>15184.5175</v>
      </c>
      <c r="P13" s="33" t="n">
        <f aca="false">IFERROR(O13/I13,0)</f>
        <v>1.36242444966083</v>
      </c>
      <c r="Q13" s="31" t="n">
        <f aca="false">IFERROR(M13/O13,0)</f>
        <v>0.0514032796893283</v>
      </c>
      <c r="R13" s="32" t="n">
        <f aca="false">E13*Dashboard!$B$6</f>
        <v>8640</v>
      </c>
      <c r="S13" s="32" t="n">
        <f aca="false">SUMIFS('Base Bruta'!$O$5:$O$145,'Base Bruta'!$B$5:$B$145,$A13,'Base Bruta'!$S$5:$S$145,"Sim")*Dashboard!$B$5</f>
        <v>2175.463</v>
      </c>
      <c r="T13" s="32" t="n">
        <f aca="false">SUMIFS('Base Bruta'!$P$5:$P$145,'Base Bruta'!$B$5:$B$145,$A13,'Base Bruta'!$S$5:$S$145,"Sim")*Dashboard!$B$5</f>
        <v>290.8205</v>
      </c>
    </row>
    <row r="14" customFormat="false" ht="15" hidden="false" customHeight="false" outlineLevel="0" collapsed="false">
      <c r="A14" s="24" t="s">
        <v>105</v>
      </c>
      <c r="B14" s="25" t="n">
        <f aca="false">SUMIFS('Base Bruta'!$F$5:$F$145,'Base Bruta'!$B$5:$B$145,$A14,'Base Bruta'!$S$5:$S$145,"Sim")</f>
        <v>3</v>
      </c>
      <c r="C14" s="25" t="n">
        <f aca="false">SUMIFS('Base Bruta'!$G$5:$G$145,'Base Bruta'!$B$5:$B$145,$A14,'Base Bruta'!$S$5:$S$145,"Sim")</f>
        <v>0</v>
      </c>
      <c r="D14" s="25" t="n">
        <f aca="false">SUMIFS('Base Bruta'!$I$5:$I$145,'Base Bruta'!$B$5:$B$145,$A14,'Base Bruta'!$S$5:$S$145,"Sim")</f>
        <v>0</v>
      </c>
      <c r="E14" s="25" t="n">
        <f aca="false">SUMIFS('Base Bruta'!$Q$5:$Q$145,'Base Bruta'!$B$5:$B$145,$A14,'Base Bruta'!$S$5:$S$145,"Sim")</f>
        <v>0</v>
      </c>
      <c r="F14" s="34" t="n">
        <f aca="false">IFERROR(D14/B14,0)</f>
        <v>0</v>
      </c>
      <c r="G14" s="34" t="n">
        <f aca="false">IFERROR(E14/B14,0)</f>
        <v>0</v>
      </c>
      <c r="H14" s="35" t="n">
        <f aca="false">SUMIFS('Base Bruta'!$H$5:$H$145,'Base Bruta'!$B$5:$B$145,$A14,'Base Bruta'!$S$5:$S$145,"Sim")*Dashboard!$B$5</f>
        <v>0</v>
      </c>
      <c r="I14" s="35" t="n">
        <f aca="false">SUMIFS('Base Bruta'!$J$5:$J$145,'Base Bruta'!$B$5:$B$145,$A14,'Base Bruta'!$S$5:$S$145,"Sim")*Dashboard!$B$5</f>
        <v>0</v>
      </c>
      <c r="J14" s="35" t="n">
        <f aca="false">IFERROR(H14/D14,0)</f>
        <v>0</v>
      </c>
      <c r="K14" s="35" t="n">
        <f aca="false">IFERROR(I14/D14,0)</f>
        <v>0</v>
      </c>
      <c r="L14" s="35" t="n">
        <f aca="false">I14-H14</f>
        <v>0</v>
      </c>
      <c r="M14" s="35" t="n">
        <f aca="false">SUMIFS('Base Bruta'!$L$5:$L$145,'Base Bruta'!$B$5:$B$145,$A14,'Base Bruta'!$S$5:$S$145,"Sim")*Dashboard!$B$5</f>
        <v>0</v>
      </c>
      <c r="N14" s="35" t="n">
        <f aca="false">SUMIFS('Base Bruta'!$N$5:$N$145,'Base Bruta'!$B$5:$B$145,$A14,'Base Bruta'!$S$5:$S$145,"Sim")*Dashboard!$B$5</f>
        <v>0</v>
      </c>
      <c r="O14" s="35" t="n">
        <f aca="false">M14+N14</f>
        <v>0</v>
      </c>
      <c r="P14" s="36" t="n">
        <f aca="false">IFERROR(O14/I14,0)</f>
        <v>0</v>
      </c>
      <c r="Q14" s="34" t="n">
        <f aca="false">IFERROR(M14/O14,0)</f>
        <v>0</v>
      </c>
      <c r="R14" s="35" t="n">
        <f aca="false">E14*Dashboard!$B$6</f>
        <v>0</v>
      </c>
      <c r="S14" s="35" t="n">
        <f aca="false">SUMIFS('Base Bruta'!$O$5:$O$145,'Base Bruta'!$B$5:$B$145,$A14,'Base Bruta'!$S$5:$S$145,"Sim")*Dashboard!$B$5</f>
        <v>0</v>
      </c>
      <c r="T14" s="35" t="n">
        <f aca="false">SUMIFS('Base Bruta'!$P$5:$P$145,'Base Bruta'!$B$5:$B$145,$A14,'Base Bruta'!$S$5:$S$145,"Sim")*Dashboard!$B$5</f>
        <v>0</v>
      </c>
    </row>
    <row r="15" customFormat="false" ht="15" hidden="false" customHeight="false" outlineLevel="0" collapsed="false">
      <c r="A15" s="27" t="s">
        <v>64</v>
      </c>
      <c r="B15" s="28" t="n">
        <f aca="false">SUMIFS('Base Bruta'!$F$5:$F$145,'Base Bruta'!$B$5:$B$145,$A15,'Base Bruta'!$S$5:$S$145,"Sim")</f>
        <v>37161</v>
      </c>
      <c r="C15" s="28" t="n">
        <f aca="false">SUMIFS('Base Bruta'!$G$5:$G$145,'Base Bruta'!$B$5:$B$145,$A15,'Base Bruta'!$S$5:$S$145,"Sim")</f>
        <v>1864</v>
      </c>
      <c r="D15" s="28" t="n">
        <f aca="false">SUMIFS('Base Bruta'!$I$5:$I$145,'Base Bruta'!$B$5:$B$145,$A15,'Base Bruta'!$S$5:$S$145,"Sim")</f>
        <v>1191</v>
      </c>
      <c r="E15" s="28" t="n">
        <f aca="false">SUMIFS('Base Bruta'!$Q$5:$Q$145,'Base Bruta'!$B$5:$B$145,$A15,'Base Bruta'!$S$5:$S$145,"Sim")</f>
        <v>677</v>
      </c>
      <c r="F15" s="31" t="n">
        <f aca="false">IFERROR(D15/B15,0)</f>
        <v>0.0320497295551788</v>
      </c>
      <c r="G15" s="31" t="n">
        <f aca="false">IFERROR(E15/B15,0)</f>
        <v>0.0182180242727591</v>
      </c>
      <c r="H15" s="32" t="n">
        <f aca="false">SUMIFS('Base Bruta'!$H$5:$H$145,'Base Bruta'!$B$5:$B$145,$A15,'Base Bruta'!$S$5:$S$145,"Sim")*Dashboard!$B$5</f>
        <v>57362.2965</v>
      </c>
      <c r="I15" s="32" t="n">
        <f aca="false">SUMIFS('Base Bruta'!$J$5:$J$145,'Base Bruta'!$B$5:$B$145,$A15,'Base Bruta'!$S$5:$S$145,"Sim")*Dashboard!$B$5</f>
        <v>121282.3455</v>
      </c>
      <c r="J15" s="32" t="n">
        <f aca="false">IFERROR(H15/D15,0)</f>
        <v>48.163137279597</v>
      </c>
      <c r="K15" s="32" t="n">
        <f aca="false">IFERROR(I15/D15,0)</f>
        <v>101.832363979849</v>
      </c>
      <c r="L15" s="32" t="n">
        <f aca="false">I15-H15</f>
        <v>63920.049</v>
      </c>
      <c r="M15" s="32" t="n">
        <f aca="false">SUMIFS('Base Bruta'!$L$5:$L$145,'Base Bruta'!$B$5:$B$145,$A15,'Base Bruta'!$S$5:$S$145,"Sim")*Dashboard!$B$5</f>
        <v>23496.5145</v>
      </c>
      <c r="N15" s="32" t="n">
        <f aca="false">SUMIFS('Base Bruta'!$N$5:$N$145,'Base Bruta'!$B$5:$B$145,$A15,'Base Bruta'!$S$5:$S$145,"Sim")*Dashboard!$B$5</f>
        <v>179005.9145</v>
      </c>
      <c r="O15" s="32" t="n">
        <f aca="false">M15+N15</f>
        <v>202502.429</v>
      </c>
      <c r="P15" s="33" t="n">
        <f aca="false">IFERROR(O15/I15,0)</f>
        <v>1.66967771084209</v>
      </c>
      <c r="Q15" s="31" t="n">
        <f aca="false">IFERROR(M15/O15,0)</f>
        <v>0.116030778574019</v>
      </c>
      <c r="R15" s="32" t="n">
        <f aca="false">E15*Dashboard!$B$6</f>
        <v>108320</v>
      </c>
      <c r="S15" s="32" t="n">
        <f aca="false">SUMIFS('Base Bruta'!$O$5:$O$145,'Base Bruta'!$B$5:$B$145,$A15,'Base Bruta'!$S$5:$S$145,"Sim")*Dashboard!$B$5</f>
        <v>31804.031</v>
      </c>
      <c r="T15" s="32" t="n">
        <f aca="false">SUMIFS('Base Bruta'!$P$5:$P$145,'Base Bruta'!$B$5:$B$145,$A15,'Base Bruta'!$S$5:$S$145,"Sim")*Dashboard!$B$5</f>
        <v>7656.7625</v>
      </c>
    </row>
    <row r="16" customFormat="false" ht="15" hidden="false" customHeight="false" outlineLevel="0" collapsed="false">
      <c r="A16" s="24" t="s">
        <v>131</v>
      </c>
      <c r="B16" s="25" t="n">
        <f aca="false">SUMIFS('Base Bruta'!$F$5:$F$145,'Base Bruta'!$B$5:$B$145,$A16,'Base Bruta'!$S$5:$S$145,"Sim")</f>
        <v>1</v>
      </c>
      <c r="C16" s="25" t="n">
        <f aca="false">SUMIFS('Base Bruta'!$G$5:$G$145,'Base Bruta'!$B$5:$B$145,$A16,'Base Bruta'!$S$5:$S$145,"Sim")</f>
        <v>0</v>
      </c>
      <c r="D16" s="25" t="n">
        <f aca="false">SUMIFS('Base Bruta'!$I$5:$I$145,'Base Bruta'!$B$5:$B$145,$A16,'Base Bruta'!$S$5:$S$145,"Sim")</f>
        <v>0</v>
      </c>
      <c r="E16" s="25" t="n">
        <f aca="false">SUMIFS('Base Bruta'!$Q$5:$Q$145,'Base Bruta'!$B$5:$B$145,$A16,'Base Bruta'!$S$5:$S$145,"Sim")</f>
        <v>0</v>
      </c>
      <c r="F16" s="34" t="n">
        <f aca="false">IFERROR(D16/B16,0)</f>
        <v>0</v>
      </c>
      <c r="G16" s="34" t="n">
        <f aca="false">IFERROR(E16/B16,0)</f>
        <v>0</v>
      </c>
      <c r="H16" s="35" t="n">
        <f aca="false">SUMIFS('Base Bruta'!$H$5:$H$145,'Base Bruta'!$B$5:$B$145,$A16,'Base Bruta'!$S$5:$S$145,"Sim")*Dashboard!$B$5</f>
        <v>0</v>
      </c>
      <c r="I16" s="35" t="n">
        <f aca="false">SUMIFS('Base Bruta'!$J$5:$J$145,'Base Bruta'!$B$5:$B$145,$A16,'Base Bruta'!$S$5:$S$145,"Sim")*Dashboard!$B$5</f>
        <v>0</v>
      </c>
      <c r="J16" s="35" t="n">
        <f aca="false">IFERROR(H16/D16,0)</f>
        <v>0</v>
      </c>
      <c r="K16" s="35" t="n">
        <f aca="false">IFERROR(I16/D16,0)</f>
        <v>0</v>
      </c>
      <c r="L16" s="35" t="n">
        <f aca="false">I16-H16</f>
        <v>0</v>
      </c>
      <c r="M16" s="35" t="n">
        <f aca="false">SUMIFS('Base Bruta'!$L$5:$L$145,'Base Bruta'!$B$5:$B$145,$A16,'Base Bruta'!$S$5:$S$145,"Sim")*Dashboard!$B$5</f>
        <v>0</v>
      </c>
      <c r="N16" s="35" t="n">
        <f aca="false">SUMIFS('Base Bruta'!$N$5:$N$145,'Base Bruta'!$B$5:$B$145,$A16,'Base Bruta'!$S$5:$S$145,"Sim")*Dashboard!$B$5</f>
        <v>0</v>
      </c>
      <c r="O16" s="35" t="n">
        <f aca="false">M16+N16</f>
        <v>0</v>
      </c>
      <c r="P16" s="36" t="n">
        <f aca="false">IFERROR(O16/I16,0)</f>
        <v>0</v>
      </c>
      <c r="Q16" s="34" t="n">
        <f aca="false">IFERROR(M16/O16,0)</f>
        <v>0</v>
      </c>
      <c r="R16" s="35" t="n">
        <f aca="false">E16*Dashboard!$B$6</f>
        <v>0</v>
      </c>
      <c r="S16" s="35" t="n">
        <f aca="false">SUMIFS('Base Bruta'!$O$5:$O$145,'Base Bruta'!$B$5:$B$145,$A16,'Base Bruta'!$S$5:$S$145,"Sim")*Dashboard!$B$5</f>
        <v>0</v>
      </c>
      <c r="T16" s="35" t="n">
        <f aca="false">SUMIFS('Base Bruta'!$P$5:$P$145,'Base Bruta'!$B$5:$B$145,$A16,'Base Bruta'!$S$5:$S$145,"Sim")*Dashboard!$B$5</f>
        <v>0</v>
      </c>
    </row>
    <row r="17" customFormat="false" ht="15" hidden="false" customHeight="false" outlineLevel="0" collapsed="false">
      <c r="A17" s="27" t="s">
        <v>133</v>
      </c>
      <c r="B17" s="28" t="n">
        <f aca="false">SUMIFS('Base Bruta'!$F$5:$F$145,'Base Bruta'!$B$5:$B$145,$A17,'Base Bruta'!$S$5:$S$145,"Sim")</f>
        <v>1080</v>
      </c>
      <c r="C17" s="28" t="n">
        <f aca="false">SUMIFS('Base Bruta'!$G$5:$G$145,'Base Bruta'!$B$5:$B$145,$A17,'Base Bruta'!$S$5:$S$145,"Sim")</f>
        <v>57</v>
      </c>
      <c r="D17" s="28" t="n">
        <f aca="false">SUMIFS('Base Bruta'!$I$5:$I$145,'Base Bruta'!$B$5:$B$145,$A17,'Base Bruta'!$S$5:$S$145,"Sim")</f>
        <v>29</v>
      </c>
      <c r="E17" s="28" t="n">
        <f aca="false">SUMIFS('Base Bruta'!$Q$5:$Q$145,'Base Bruta'!$B$5:$B$145,$A17,'Base Bruta'!$S$5:$S$145,"Sim")</f>
        <v>23</v>
      </c>
      <c r="F17" s="31" t="n">
        <f aca="false">IFERROR(D17/B17,0)</f>
        <v>0.0268518518518519</v>
      </c>
      <c r="G17" s="31" t="n">
        <f aca="false">IFERROR(E17/B17,0)</f>
        <v>0.0212962962962963</v>
      </c>
      <c r="H17" s="32" t="n">
        <f aca="false">SUMIFS('Base Bruta'!$H$5:$H$145,'Base Bruta'!$B$5:$B$145,$A17,'Base Bruta'!$S$5:$S$145,"Sim")*Dashboard!$B$5</f>
        <v>937.4545</v>
      </c>
      <c r="I17" s="32" t="n">
        <f aca="false">SUMIFS('Base Bruta'!$J$5:$J$145,'Base Bruta'!$B$5:$B$145,$A17,'Base Bruta'!$S$5:$S$145,"Sim")*Dashboard!$B$5</f>
        <v>2709.93</v>
      </c>
      <c r="J17" s="32" t="n">
        <f aca="false">IFERROR(H17/D17,0)</f>
        <v>32.3260172413793</v>
      </c>
      <c r="K17" s="32" t="n">
        <f aca="false">IFERROR(I17/D17,0)</f>
        <v>93.4458620689655</v>
      </c>
      <c r="L17" s="32" t="n">
        <f aca="false">I17-H17</f>
        <v>1772.4755</v>
      </c>
      <c r="M17" s="32" t="n">
        <f aca="false">SUMIFS('Base Bruta'!$L$5:$L$145,'Base Bruta'!$B$5:$B$145,$A17,'Base Bruta'!$S$5:$S$145,"Sim")*Dashboard!$B$5</f>
        <v>354.423</v>
      </c>
      <c r="N17" s="32" t="n">
        <f aca="false">SUMIFS('Base Bruta'!$N$5:$N$145,'Base Bruta'!$B$5:$B$145,$A17,'Base Bruta'!$S$5:$S$145,"Sim")*Dashboard!$B$5</f>
        <v>4440.9995</v>
      </c>
      <c r="O17" s="32" t="n">
        <f aca="false">M17+N17</f>
        <v>4795.4225</v>
      </c>
      <c r="P17" s="33" t="n">
        <f aca="false">IFERROR(O17/I17,0)</f>
        <v>1.7695743063474</v>
      </c>
      <c r="Q17" s="31" t="n">
        <f aca="false">IFERROR(M17/O17,0)</f>
        <v>0.0739086076357193</v>
      </c>
      <c r="R17" s="32" t="n">
        <f aca="false">E17*Dashboard!$B$6</f>
        <v>3680</v>
      </c>
      <c r="S17" s="32" t="n">
        <f aca="false">SUMIFS('Base Bruta'!$O$5:$O$145,'Base Bruta'!$B$5:$B$145,$A17,'Base Bruta'!$S$5:$S$145,"Sim")*Dashboard!$B$5</f>
        <v>982.826</v>
      </c>
      <c r="T17" s="32" t="n">
        <f aca="false">SUMIFS('Base Bruta'!$P$5:$P$145,'Base Bruta'!$B$5:$B$145,$A17,'Base Bruta'!$S$5:$S$145,"Sim")*Dashboard!$B$5</f>
        <v>515.8755</v>
      </c>
    </row>
    <row r="18" customFormat="false" ht="15" hidden="false" customHeight="false" outlineLevel="0" collapsed="false">
      <c r="A18" s="24" t="s">
        <v>139</v>
      </c>
      <c r="B18" s="25" t="n">
        <f aca="false">SUMIFS('Base Bruta'!$F$5:$F$145,'Base Bruta'!$B$5:$B$145,$A18,'Base Bruta'!$S$5:$S$145,"Sim")</f>
        <v>4863</v>
      </c>
      <c r="C18" s="25" t="n">
        <f aca="false">SUMIFS('Base Bruta'!$G$5:$G$145,'Base Bruta'!$B$5:$B$145,$A18,'Base Bruta'!$S$5:$S$145,"Sim")</f>
        <v>143</v>
      </c>
      <c r="D18" s="25" t="n">
        <f aca="false">SUMIFS('Base Bruta'!$I$5:$I$145,'Base Bruta'!$B$5:$B$145,$A18,'Base Bruta'!$S$5:$S$145,"Sim")</f>
        <v>54</v>
      </c>
      <c r="E18" s="25" t="n">
        <f aca="false">SUMIFS('Base Bruta'!$Q$5:$Q$145,'Base Bruta'!$B$5:$B$145,$A18,'Base Bruta'!$S$5:$S$145,"Sim")</f>
        <v>21</v>
      </c>
      <c r="F18" s="34" t="n">
        <f aca="false">IFERROR(D18/B18,0)</f>
        <v>0.0111042566317088</v>
      </c>
      <c r="G18" s="34" t="n">
        <f aca="false">IFERROR(E18/B18,0)</f>
        <v>0.00431832202344232</v>
      </c>
      <c r="H18" s="35" t="n">
        <f aca="false">SUMIFS('Base Bruta'!$H$5:$H$145,'Base Bruta'!$B$5:$B$145,$A18,'Base Bruta'!$S$5:$S$145,"Sim")*Dashboard!$B$5</f>
        <v>1406.8255</v>
      </c>
      <c r="I18" s="35" t="n">
        <f aca="false">SUMIFS('Base Bruta'!$J$5:$J$145,'Base Bruta'!$B$5:$B$145,$A18,'Base Bruta'!$S$5:$S$145,"Sim")*Dashboard!$B$5</f>
        <v>2086.5225</v>
      </c>
      <c r="J18" s="35" t="n">
        <f aca="false">IFERROR(H18/D18,0)</f>
        <v>26.0523240740741</v>
      </c>
      <c r="K18" s="35" t="n">
        <f aca="false">IFERROR(I18/D18,0)</f>
        <v>38.6393055555556</v>
      </c>
      <c r="L18" s="35" t="n">
        <f aca="false">I18-H18</f>
        <v>679.697</v>
      </c>
      <c r="M18" s="35" t="n">
        <f aca="false">SUMIFS('Base Bruta'!$L$5:$L$145,'Base Bruta'!$B$5:$B$145,$A18,'Base Bruta'!$S$5:$S$145,"Sim")*Dashboard!$B$5</f>
        <v>97.4895</v>
      </c>
      <c r="N18" s="35" t="n">
        <f aca="false">SUMIFS('Base Bruta'!$N$5:$N$145,'Base Bruta'!$B$5:$B$145,$A18,'Base Bruta'!$S$5:$S$145,"Sim")*Dashboard!$B$5</f>
        <v>1824.1815</v>
      </c>
      <c r="O18" s="35" t="n">
        <f aca="false">M18+N18</f>
        <v>1921.671</v>
      </c>
      <c r="P18" s="36" t="n">
        <f aca="false">IFERROR(O18/I18,0)</f>
        <v>0.920992225101814</v>
      </c>
      <c r="Q18" s="34" t="n">
        <f aca="false">IFERROR(M18/O18,0)</f>
        <v>0.050731628879241</v>
      </c>
      <c r="R18" s="35" t="n">
        <f aca="false">E18*Dashboard!$B$6</f>
        <v>3360</v>
      </c>
      <c r="S18" s="35" t="n">
        <f aca="false">SUMIFS('Base Bruta'!$O$5:$O$145,'Base Bruta'!$B$5:$B$145,$A18,'Base Bruta'!$S$5:$S$145,"Sim")*Dashboard!$B$5</f>
        <v>1357.5915</v>
      </c>
      <c r="T18" s="35" t="n">
        <f aca="false">SUMIFS('Base Bruta'!$P$5:$P$145,'Base Bruta'!$B$5:$B$145,$A18,'Base Bruta'!$S$5:$S$145,"Sim")*Dashboard!$B$5</f>
        <v>957.179</v>
      </c>
    </row>
    <row r="19" customFormat="false" ht="15" hidden="false" customHeight="false" outlineLevel="0" collapsed="false">
      <c r="A19" s="27" t="s">
        <v>144</v>
      </c>
      <c r="B19" s="28" t="n">
        <f aca="false">SUMIFS('Base Bruta'!$F$5:$F$145,'Base Bruta'!$B$5:$B$145,$A19,'Base Bruta'!$S$5:$S$145,"Sim")</f>
        <v>24291</v>
      </c>
      <c r="C19" s="28" t="n">
        <f aca="false">SUMIFS('Base Bruta'!$G$5:$G$145,'Base Bruta'!$B$5:$B$145,$A19,'Base Bruta'!$S$5:$S$145,"Sim")</f>
        <v>1003</v>
      </c>
      <c r="D19" s="28" t="n">
        <f aca="false">SUMIFS('Base Bruta'!$I$5:$I$145,'Base Bruta'!$B$5:$B$145,$A19,'Base Bruta'!$S$5:$S$145,"Sim")</f>
        <v>514</v>
      </c>
      <c r="E19" s="28" t="n">
        <f aca="false">SUMIFS('Base Bruta'!$Q$5:$Q$145,'Base Bruta'!$B$5:$B$145,$A19,'Base Bruta'!$S$5:$S$145,"Sim")</f>
        <v>268</v>
      </c>
      <c r="F19" s="31" t="n">
        <f aca="false">IFERROR(D19/B19,0)</f>
        <v>0.0211601004487259</v>
      </c>
      <c r="G19" s="31" t="n">
        <f aca="false">IFERROR(E19/B19,0)</f>
        <v>0.0110328928409699</v>
      </c>
      <c r="H19" s="32" t="n">
        <f aca="false">SUMIFS('Base Bruta'!$H$5:$H$145,'Base Bruta'!$B$5:$B$145,$A19,'Base Bruta'!$S$5:$S$145,"Sim")*Dashboard!$B$5</f>
        <v>17409.781</v>
      </c>
      <c r="I19" s="32" t="n">
        <f aca="false">SUMIFS('Base Bruta'!$J$5:$J$145,'Base Bruta'!$B$5:$B$145,$A19,'Base Bruta'!$S$5:$S$145,"Sim")*Dashboard!$B$5</f>
        <v>25757.2615</v>
      </c>
      <c r="J19" s="32" t="n">
        <f aca="false">IFERROR(H19/D19,0)</f>
        <v>33.8711692607004</v>
      </c>
      <c r="K19" s="32" t="n">
        <f aca="false">IFERROR(I19/D19,0)</f>
        <v>50.1114036964981</v>
      </c>
      <c r="L19" s="32" t="n">
        <f aca="false">I19-H19</f>
        <v>8347.4805</v>
      </c>
      <c r="M19" s="32" t="n">
        <f aca="false">SUMIFS('Base Bruta'!$L$5:$L$145,'Base Bruta'!$B$5:$B$145,$A19,'Base Bruta'!$S$5:$S$145,"Sim")*Dashboard!$B$5</f>
        <v>12746.25</v>
      </c>
      <c r="N19" s="32" t="n">
        <f aca="false">SUMIFS('Base Bruta'!$N$5:$N$145,'Base Bruta'!$B$5:$B$145,$A19,'Base Bruta'!$S$5:$S$145,"Sim")*Dashboard!$B$5</f>
        <v>25480.9125</v>
      </c>
      <c r="O19" s="32" t="n">
        <f aca="false">M19+N19</f>
        <v>38227.1625</v>
      </c>
      <c r="P19" s="33" t="n">
        <f aca="false">IFERROR(O19/I19,0)</f>
        <v>1.48413147492407</v>
      </c>
      <c r="Q19" s="31" t="n">
        <f aca="false">IFERROR(M19/O19,0)</f>
        <v>0.333434374052743</v>
      </c>
      <c r="R19" s="32" t="n">
        <f aca="false">E19*Dashboard!$B$6</f>
        <v>42880</v>
      </c>
      <c r="S19" s="32" t="n">
        <f aca="false">SUMIFS('Base Bruta'!$O$5:$O$145,'Base Bruta'!$B$5:$B$145,$A19,'Base Bruta'!$S$5:$S$145,"Sim")*Dashboard!$B$5</f>
        <v>12706.801</v>
      </c>
      <c r="T19" s="32" t="n">
        <f aca="false">SUMIFS('Base Bruta'!$P$5:$P$145,'Base Bruta'!$B$5:$B$145,$A19,'Base Bruta'!$S$5:$S$145,"Sim")*Dashboard!$B$5</f>
        <v>7941.7635</v>
      </c>
    </row>
    <row r="20" customFormat="false" ht="15" hidden="false" customHeight="false" outlineLevel="0" collapsed="false">
      <c r="A20" s="24" t="s">
        <v>153</v>
      </c>
      <c r="B20" s="25" t="n">
        <f aca="false">SUMIFS('Base Bruta'!$F$5:$F$145,'Base Bruta'!$B$5:$B$145,$A20,'Base Bruta'!$S$5:$S$145,"Sim")</f>
        <v>7031</v>
      </c>
      <c r="C20" s="25" t="n">
        <f aca="false">SUMIFS('Base Bruta'!$G$5:$G$145,'Base Bruta'!$B$5:$B$145,$A20,'Base Bruta'!$S$5:$S$145,"Sim")</f>
        <v>318</v>
      </c>
      <c r="D20" s="25" t="n">
        <f aca="false">SUMIFS('Base Bruta'!$I$5:$I$145,'Base Bruta'!$B$5:$B$145,$A20,'Base Bruta'!$S$5:$S$145,"Sim")</f>
        <v>216</v>
      </c>
      <c r="E20" s="25" t="n">
        <f aca="false">SUMIFS('Base Bruta'!$Q$5:$Q$145,'Base Bruta'!$B$5:$B$145,$A20,'Base Bruta'!$S$5:$S$145,"Sim")</f>
        <v>114</v>
      </c>
      <c r="F20" s="34" t="n">
        <f aca="false">IFERROR(D20/B20,0)</f>
        <v>0.0307210923055042</v>
      </c>
      <c r="G20" s="34" t="n">
        <f aca="false">IFERROR(E20/B20,0)</f>
        <v>0.016213909827905</v>
      </c>
      <c r="H20" s="35" t="n">
        <f aca="false">SUMIFS('Base Bruta'!$H$5:$H$145,'Base Bruta'!$B$5:$B$145,$A20,'Base Bruta'!$S$5:$S$145,"Sim")*Dashboard!$B$5</f>
        <v>9206.449</v>
      </c>
      <c r="I20" s="35" t="n">
        <f aca="false">SUMIFS('Base Bruta'!$J$5:$J$145,'Base Bruta'!$B$5:$B$145,$A20,'Base Bruta'!$S$5:$S$145,"Sim")*Dashboard!$B$5</f>
        <v>21129.2655</v>
      </c>
      <c r="J20" s="35" t="n">
        <f aca="false">IFERROR(H20/D20,0)</f>
        <v>42.6224490740741</v>
      </c>
      <c r="K20" s="35" t="n">
        <f aca="false">IFERROR(I20/D20,0)</f>
        <v>97.8206736111111</v>
      </c>
      <c r="L20" s="35" t="n">
        <f aca="false">I20-H20</f>
        <v>11922.8165</v>
      </c>
      <c r="M20" s="35" t="n">
        <f aca="false">SUMIFS('Base Bruta'!$L$5:$L$145,'Base Bruta'!$B$5:$B$145,$A20,'Base Bruta'!$S$5:$S$145,"Sim")*Dashboard!$B$5</f>
        <v>2551.619</v>
      </c>
      <c r="N20" s="35" t="n">
        <f aca="false">SUMIFS('Base Bruta'!$N$5:$N$145,'Base Bruta'!$B$5:$B$145,$A20,'Base Bruta'!$S$5:$S$145,"Sim")*Dashboard!$B$5</f>
        <v>25018.2365</v>
      </c>
      <c r="O20" s="35" t="n">
        <f aca="false">M20+N20</f>
        <v>27569.8555</v>
      </c>
      <c r="P20" s="36" t="n">
        <f aca="false">IFERROR(O20/I20,0)</f>
        <v>1.30481845192394</v>
      </c>
      <c r="Q20" s="34" t="n">
        <f aca="false">IFERROR(M20/O20,0)</f>
        <v>0.092551047284234</v>
      </c>
      <c r="R20" s="35" t="n">
        <f aca="false">E20*Dashboard!$B$6</f>
        <v>18240</v>
      </c>
      <c r="S20" s="35" t="n">
        <f aca="false">SUMIFS('Base Bruta'!$O$5:$O$145,'Base Bruta'!$B$5:$B$145,$A20,'Base Bruta'!$S$5:$S$145,"Sim")*Dashboard!$B$5</f>
        <v>3732.0505</v>
      </c>
      <c r="T20" s="35" t="n">
        <f aca="false">SUMIFS('Base Bruta'!$P$5:$P$145,'Base Bruta'!$B$5:$B$145,$A20,'Base Bruta'!$S$5:$S$145,"Sim")*Dashboard!$B$5</f>
        <v>775.487</v>
      </c>
    </row>
    <row r="21" customFormat="false" ht="15" hidden="false" customHeight="false" outlineLevel="0" collapsed="false">
      <c r="A21" s="27" t="s">
        <v>159</v>
      </c>
      <c r="B21" s="28" t="n">
        <f aca="false">SUMIFS('Base Bruta'!$F$5:$F$145,'Base Bruta'!$B$5:$B$145,$A21,'Base Bruta'!$S$5:$S$145,"Sim")</f>
        <v>129</v>
      </c>
      <c r="C21" s="28" t="n">
        <f aca="false">SUMIFS('Base Bruta'!$G$5:$G$145,'Base Bruta'!$B$5:$B$145,$A21,'Base Bruta'!$S$5:$S$145,"Sim")</f>
        <v>34</v>
      </c>
      <c r="D21" s="28" t="n">
        <f aca="false">SUMIFS('Base Bruta'!$I$5:$I$145,'Base Bruta'!$B$5:$B$145,$A21,'Base Bruta'!$S$5:$S$145,"Sim")</f>
        <v>14</v>
      </c>
      <c r="E21" s="28" t="n">
        <f aca="false">SUMIFS('Base Bruta'!$Q$5:$Q$145,'Base Bruta'!$B$5:$B$145,$A21,'Base Bruta'!$S$5:$S$145,"Sim")</f>
        <v>13</v>
      </c>
      <c r="F21" s="31" t="n">
        <f aca="false">IFERROR(D21/B21,0)</f>
        <v>0.108527131782946</v>
      </c>
      <c r="G21" s="31" t="n">
        <f aca="false">IFERROR(E21/B21,0)</f>
        <v>0.10077519379845</v>
      </c>
      <c r="H21" s="32" t="n">
        <f aca="false">SUMIFS('Base Bruta'!$H$5:$H$145,'Base Bruta'!$B$5:$B$145,$A21,'Base Bruta'!$S$5:$S$145,"Sim")*Dashboard!$B$5</f>
        <v>2000.054</v>
      </c>
      <c r="I21" s="32" t="n">
        <f aca="false">SUMIFS('Base Bruta'!$J$5:$J$145,'Base Bruta'!$B$5:$B$145,$A21,'Base Bruta'!$S$5:$S$145,"Sim")*Dashboard!$B$5</f>
        <v>2066.4375</v>
      </c>
      <c r="J21" s="32" t="n">
        <f aca="false">IFERROR(H21/D21,0)</f>
        <v>142.861</v>
      </c>
      <c r="K21" s="32" t="n">
        <f aca="false">IFERROR(I21/D21,0)</f>
        <v>147.602678571429</v>
      </c>
      <c r="L21" s="32" t="n">
        <f aca="false">I21-H21</f>
        <v>66.3834999999997</v>
      </c>
      <c r="M21" s="32" t="n">
        <f aca="false">SUMIFS('Base Bruta'!$L$5:$L$145,'Base Bruta'!$B$5:$B$145,$A21,'Base Bruta'!$S$5:$S$145,"Sim")*Dashboard!$B$5</f>
        <v>17.2525</v>
      </c>
      <c r="N21" s="32" t="n">
        <f aca="false">SUMIFS('Base Bruta'!$N$5:$N$145,'Base Bruta'!$B$5:$B$145,$A21,'Base Bruta'!$S$5:$S$145,"Sim")*Dashboard!$B$5</f>
        <v>2177.0595</v>
      </c>
      <c r="O21" s="32" t="n">
        <f aca="false">M21+N21</f>
        <v>2194.312</v>
      </c>
      <c r="P21" s="33" t="n">
        <f aca="false">IFERROR(O21/I21,0)</f>
        <v>1.06188161993769</v>
      </c>
      <c r="Q21" s="31" t="n">
        <f aca="false">IFERROR(M21/O21,0)</f>
        <v>0.00786237326323695</v>
      </c>
      <c r="R21" s="32" t="n">
        <f aca="false">E21*Dashboard!$B$6</f>
        <v>2080</v>
      </c>
      <c r="S21" s="32" t="n">
        <f aca="false">SUMIFS('Base Bruta'!$O$5:$O$145,'Base Bruta'!$B$5:$B$145,$A21,'Base Bruta'!$S$5:$S$145,"Sim")*Dashboard!$B$5</f>
        <v>1644.0345</v>
      </c>
      <c r="T21" s="32" t="n">
        <f aca="false">SUMIFS('Base Bruta'!$P$5:$P$145,'Base Bruta'!$B$5:$B$145,$A21,'Base Bruta'!$S$5:$S$145,"Sim")*Dashboard!$B$5</f>
        <v>1185.5815</v>
      </c>
    </row>
    <row r="22" customFormat="false" ht="15" hidden="false" customHeight="false" outlineLevel="0" collapsed="false">
      <c r="A22" s="24" t="s">
        <v>161</v>
      </c>
      <c r="B22" s="25" t="n">
        <f aca="false">SUMIFS('Base Bruta'!$F$5:$F$145,'Base Bruta'!$B$5:$B$145,$A22,'Base Bruta'!$S$5:$S$145,"Sim")</f>
        <v>27154</v>
      </c>
      <c r="C22" s="25" t="n">
        <f aca="false">SUMIFS('Base Bruta'!$G$5:$G$145,'Base Bruta'!$B$5:$B$145,$A22,'Base Bruta'!$S$5:$S$145,"Sim")</f>
        <v>1063</v>
      </c>
      <c r="D22" s="25" t="n">
        <f aca="false">SUMIFS('Base Bruta'!$I$5:$I$145,'Base Bruta'!$B$5:$B$145,$A22,'Base Bruta'!$S$5:$S$145,"Sim")</f>
        <v>709</v>
      </c>
      <c r="E22" s="25" t="n">
        <f aca="false">SUMIFS('Base Bruta'!$Q$5:$Q$145,'Base Bruta'!$B$5:$B$145,$A22,'Base Bruta'!$S$5:$S$145,"Sim")</f>
        <v>317</v>
      </c>
      <c r="F22" s="34" t="n">
        <f aca="false">IFERROR(D22/B22,0)</f>
        <v>0.0261103336525006</v>
      </c>
      <c r="G22" s="34" t="n">
        <f aca="false">IFERROR(E22/B22,0)</f>
        <v>0.0116741548206526</v>
      </c>
      <c r="H22" s="35" t="n">
        <f aca="false">SUMIFS('Base Bruta'!$H$5:$H$145,'Base Bruta'!$B$5:$B$145,$A22,'Base Bruta'!$S$5:$S$145,"Sim")*Dashboard!$B$5</f>
        <v>16473.0475</v>
      </c>
      <c r="I22" s="35" t="n">
        <f aca="false">SUMIFS('Base Bruta'!$J$5:$J$145,'Base Bruta'!$B$5:$B$145,$A22,'Base Bruta'!$S$5:$S$145,"Sim")*Dashboard!$B$5</f>
        <v>39958.4895</v>
      </c>
      <c r="J22" s="35" t="n">
        <f aca="false">IFERROR(H22/D22,0)</f>
        <v>23.2341995768688</v>
      </c>
      <c r="K22" s="35" t="n">
        <f aca="false">IFERROR(I22/D22,0)</f>
        <v>56.3589414668547</v>
      </c>
      <c r="L22" s="35" t="n">
        <f aca="false">I22-H22</f>
        <v>23485.442</v>
      </c>
      <c r="M22" s="35" t="n">
        <f aca="false">SUMIFS('Base Bruta'!$L$5:$L$145,'Base Bruta'!$B$5:$B$145,$A22,'Base Bruta'!$S$5:$S$145,"Sim")*Dashboard!$B$5</f>
        <v>22114.615</v>
      </c>
      <c r="N22" s="35" t="n">
        <f aca="false">SUMIFS('Base Bruta'!$N$5:$N$145,'Base Bruta'!$B$5:$B$145,$A22,'Base Bruta'!$S$5:$S$145,"Sim")*Dashboard!$B$5</f>
        <v>45616.0735</v>
      </c>
      <c r="O22" s="35" t="n">
        <f aca="false">M22+N22</f>
        <v>67730.6885</v>
      </c>
      <c r="P22" s="36" t="n">
        <f aca="false">IFERROR(O22/I22,0)</f>
        <v>1.69502624717583</v>
      </c>
      <c r="Q22" s="34" t="n">
        <f aca="false">IFERROR(M22/O22,0)</f>
        <v>0.326508049597045</v>
      </c>
      <c r="R22" s="35" t="n">
        <f aca="false">E22*Dashboard!$B$6</f>
        <v>50720</v>
      </c>
      <c r="S22" s="35" t="n">
        <f aca="false">SUMIFS('Base Bruta'!$O$5:$O$145,'Base Bruta'!$B$5:$B$145,$A22,'Base Bruta'!$S$5:$S$145,"Sim")*Dashboard!$B$5</f>
        <v>-18540.515</v>
      </c>
      <c r="T22" s="35" t="n">
        <f aca="false">SUMIFS('Base Bruta'!$P$5:$P$145,'Base Bruta'!$B$5:$B$145,$A22,'Base Bruta'!$S$5:$S$145,"Sim")*Dashboard!$B$5</f>
        <v>-25948.481</v>
      </c>
    </row>
    <row r="23" customFormat="false" ht="15" hidden="false" customHeight="false" outlineLevel="0" collapsed="false">
      <c r="A23" s="27" t="s">
        <v>167</v>
      </c>
      <c r="B23" s="28" t="n">
        <f aca="false">SUMIFS('Base Bruta'!$F$5:$F$145,'Base Bruta'!$B$5:$B$145,$A23,'Base Bruta'!$S$5:$S$145,"Sim")</f>
        <v>13966</v>
      </c>
      <c r="C23" s="28" t="n">
        <f aca="false">SUMIFS('Base Bruta'!$G$5:$G$145,'Base Bruta'!$B$5:$B$145,$A23,'Base Bruta'!$S$5:$S$145,"Sim")</f>
        <v>1001</v>
      </c>
      <c r="D23" s="28" t="n">
        <f aca="false">SUMIFS('Base Bruta'!$I$5:$I$145,'Base Bruta'!$B$5:$B$145,$A23,'Base Bruta'!$S$5:$S$145,"Sim")</f>
        <v>644</v>
      </c>
      <c r="E23" s="28" t="n">
        <f aca="false">SUMIFS('Base Bruta'!$Q$5:$Q$145,'Base Bruta'!$B$5:$B$145,$A23,'Base Bruta'!$S$5:$S$145,"Sim")</f>
        <v>295</v>
      </c>
      <c r="F23" s="31" t="n">
        <f aca="false">IFERROR(D23/B23,0)</f>
        <v>0.0461119862523271</v>
      </c>
      <c r="G23" s="31" t="n">
        <f aca="false">IFERROR(E23/B23,0)</f>
        <v>0.0211227266217958</v>
      </c>
      <c r="H23" s="32" t="n">
        <f aca="false">SUMIFS('Base Bruta'!$H$5:$H$145,'Base Bruta'!$B$5:$B$145,$A23,'Base Bruta'!$S$5:$S$145,"Sim")*Dashboard!$B$5</f>
        <v>24656.9125</v>
      </c>
      <c r="I23" s="32" t="n">
        <f aca="false">SUMIFS('Base Bruta'!$J$5:$J$145,'Base Bruta'!$B$5:$B$145,$A23,'Base Bruta'!$S$5:$S$145,"Sim")*Dashboard!$B$5</f>
        <v>42776.0545</v>
      </c>
      <c r="J23" s="32" t="n">
        <f aca="false">IFERROR(H23/D23,0)</f>
        <v>38.2871312111801</v>
      </c>
      <c r="K23" s="32" t="n">
        <f aca="false">IFERROR(I23/D23,0)</f>
        <v>66.4224448757764</v>
      </c>
      <c r="L23" s="32" t="n">
        <f aca="false">I23-H23</f>
        <v>18119.142</v>
      </c>
      <c r="M23" s="32" t="n">
        <f aca="false">SUMIFS('Base Bruta'!$L$5:$L$145,'Base Bruta'!$B$5:$B$145,$A23,'Base Bruta'!$S$5:$S$145,"Sim")*Dashboard!$B$5</f>
        <v>14977.848</v>
      </c>
      <c r="N23" s="32" t="n">
        <f aca="false">SUMIFS('Base Bruta'!$N$5:$N$145,'Base Bruta'!$B$5:$B$145,$A23,'Base Bruta'!$S$5:$S$145,"Sim")*Dashboard!$B$5</f>
        <v>44767.199</v>
      </c>
      <c r="O23" s="32" t="n">
        <f aca="false">M23+N23</f>
        <v>59745.047</v>
      </c>
      <c r="P23" s="33" t="n">
        <f aca="false">IFERROR(O23/I23,0)</f>
        <v>1.39669372732822</v>
      </c>
      <c r="Q23" s="31" t="n">
        <f aca="false">IFERROR(M23/O23,0)</f>
        <v>0.250696061884427</v>
      </c>
      <c r="R23" s="32" t="n">
        <f aca="false">E23*Dashboard!$B$6</f>
        <v>47200</v>
      </c>
      <c r="S23" s="32" t="n">
        <f aca="false">SUMIFS('Base Bruta'!$O$5:$O$145,'Base Bruta'!$B$5:$B$145,$A23,'Base Bruta'!$S$5:$S$145,"Sim")*Dashboard!$B$5</f>
        <v>16731.423</v>
      </c>
      <c r="T23" s="32" t="n">
        <f aca="false">SUMIFS('Base Bruta'!$P$5:$P$145,'Base Bruta'!$B$5:$B$145,$A23,'Base Bruta'!$S$5:$S$145,"Sim")*Dashboard!$B$5</f>
        <v>9143.928</v>
      </c>
    </row>
    <row r="24" customFormat="false" ht="15" hidden="false" customHeight="false" outlineLevel="0" collapsed="false">
      <c r="A24" s="24" t="s">
        <v>67</v>
      </c>
      <c r="B24" s="25" t="n">
        <f aca="false">SUMIFS('Base Bruta'!$F$5:$F$145,'Base Bruta'!$B$5:$B$145,$A24,'Base Bruta'!$S$5:$S$145,"Sim")</f>
        <v>280</v>
      </c>
      <c r="C24" s="25" t="n">
        <f aca="false">SUMIFS('Base Bruta'!$G$5:$G$145,'Base Bruta'!$B$5:$B$145,$A24,'Base Bruta'!$S$5:$S$145,"Sim")</f>
        <v>38</v>
      </c>
      <c r="D24" s="25" t="n">
        <f aca="false">SUMIFS('Base Bruta'!$I$5:$I$145,'Base Bruta'!$B$5:$B$145,$A24,'Base Bruta'!$S$5:$S$145,"Sim")</f>
        <v>9</v>
      </c>
      <c r="E24" s="25" t="n">
        <f aca="false">SUMIFS('Base Bruta'!$Q$5:$Q$145,'Base Bruta'!$B$5:$B$145,$A24,'Base Bruta'!$S$5:$S$145,"Sim")</f>
        <v>5</v>
      </c>
      <c r="F24" s="34" t="n">
        <f aca="false">IFERROR(D24/B24,0)</f>
        <v>0.0321428571428571</v>
      </c>
      <c r="G24" s="34" t="n">
        <f aca="false">IFERROR(E24/B24,0)</f>
        <v>0.0178571428571429</v>
      </c>
      <c r="H24" s="35" t="n">
        <f aca="false">SUMIFS('Base Bruta'!$H$5:$H$145,'Base Bruta'!$B$5:$B$145,$A24,'Base Bruta'!$S$5:$S$145,"Sim")*Dashboard!$B$5</f>
        <v>475.654</v>
      </c>
      <c r="I24" s="35" t="n">
        <f aca="false">SUMIFS('Base Bruta'!$J$5:$J$145,'Base Bruta'!$B$5:$B$145,$A24,'Base Bruta'!$S$5:$S$145,"Sim")*Dashboard!$B$5</f>
        <v>550.1745</v>
      </c>
      <c r="J24" s="35" t="n">
        <f aca="false">IFERROR(H24/D24,0)</f>
        <v>52.8504444444445</v>
      </c>
      <c r="K24" s="35" t="n">
        <f aca="false">IFERROR(I24/D24,0)</f>
        <v>61.1305</v>
      </c>
      <c r="L24" s="35" t="n">
        <f aca="false">I24-H24</f>
        <v>74.5205</v>
      </c>
      <c r="M24" s="35" t="n">
        <f aca="false">SUMIFS('Base Bruta'!$L$5:$L$145,'Base Bruta'!$B$5:$B$145,$A24,'Base Bruta'!$S$5:$S$145,"Sim")*Dashboard!$B$5</f>
        <v>1048.2825</v>
      </c>
      <c r="N24" s="35" t="n">
        <f aca="false">SUMIFS('Base Bruta'!$N$5:$N$145,'Base Bruta'!$B$5:$B$145,$A24,'Base Bruta'!$S$5:$S$145,"Sim")*Dashboard!$B$5</f>
        <v>275.731</v>
      </c>
      <c r="O24" s="35" t="n">
        <f aca="false">M24+N24</f>
        <v>1324.0135</v>
      </c>
      <c r="P24" s="36" t="n">
        <f aca="false">IFERROR(O24/I24,0)</f>
        <v>2.40653374520266</v>
      </c>
      <c r="Q24" s="34" t="n">
        <f aca="false">IFERROR(M24/O24,0)</f>
        <v>0.791746081138901</v>
      </c>
      <c r="R24" s="35" t="n">
        <f aca="false">E24*Dashboard!$B$6</f>
        <v>800</v>
      </c>
      <c r="S24" s="35" t="n">
        <f aca="false">SUMIFS('Base Bruta'!$O$5:$O$145,'Base Bruta'!$B$5:$B$145,$A24,'Base Bruta'!$S$5:$S$145,"Sim")*Dashboard!$B$5</f>
        <v>270.478</v>
      </c>
      <c r="T24" s="35" t="n">
        <f aca="false">SUMIFS('Base Bruta'!$P$5:$P$145,'Base Bruta'!$B$5:$B$145,$A24,'Base Bruta'!$S$5:$S$145,"Sim")*Dashboard!$B$5</f>
        <v>155.015</v>
      </c>
    </row>
    <row r="25" customFormat="false" ht="15" hidden="false" customHeight="false" outlineLevel="0" collapsed="false">
      <c r="A25" s="37" t="s">
        <v>198</v>
      </c>
      <c r="B25" s="38" t="n">
        <f aca="false">SUM(B5:B24)</f>
        <v>184120</v>
      </c>
      <c r="C25" s="38" t="n">
        <f aca="false">SUM(C5:C24)</f>
        <v>7488</v>
      </c>
      <c r="D25" s="38" t="n">
        <f aca="false">SUM(D5:D24)</f>
        <v>4421</v>
      </c>
      <c r="E25" s="38" t="n">
        <f aca="false">SUM(E5:E24)</f>
        <v>2279</v>
      </c>
      <c r="F25" s="39" t="n">
        <f aca="false">IFERROR(D25/B25,0)</f>
        <v>0.0240115142298501</v>
      </c>
      <c r="G25" s="39" t="n">
        <f aca="false">IFERROR(E25/B25,0)</f>
        <v>0.0123777970888551</v>
      </c>
      <c r="H25" s="40" t="n">
        <f aca="false">SUM(H5:H24)</f>
        <v>162542.24</v>
      </c>
      <c r="I25" s="40" t="n">
        <f aca="false">SUM(I5:I24)</f>
        <v>314232.812</v>
      </c>
      <c r="J25" s="40" t="n">
        <f aca="false">IFERROR(H25/D25,0)</f>
        <v>36.7659443564804</v>
      </c>
      <c r="K25" s="40" t="n">
        <f aca="false">IFERROR(I25/D25,0)</f>
        <v>71.0773155394707</v>
      </c>
      <c r="L25" s="40" t="n">
        <f aca="false">I25-H25</f>
        <v>151690.572</v>
      </c>
      <c r="M25" s="40" t="n">
        <f aca="false">SUM(M5:M24)</f>
        <v>88242.0055</v>
      </c>
      <c r="N25" s="40" t="n">
        <f aca="false">SUM(N5:N24)</f>
        <v>396619.113</v>
      </c>
      <c r="O25" s="40" t="n">
        <f aca="false">M25+N25</f>
        <v>484861.1185</v>
      </c>
      <c r="P25" s="41" t="n">
        <f aca="false">IFERROR(O25/I25,0)</f>
        <v>1.54299964861722</v>
      </c>
      <c r="Q25" s="39" t="n">
        <f aca="false">IFERROR(M25/O25,0)</f>
        <v>0.181994394132884</v>
      </c>
      <c r="R25" s="40" t="n">
        <f aca="false">E25*Dashboard!$B$6</f>
        <v>364640</v>
      </c>
      <c r="S25" s="40" t="n">
        <f aca="false">SUM(S5:S24)</f>
        <v>79346.1015</v>
      </c>
      <c r="T25" s="40" t="n">
        <f aca="false">SUM(T5:T24)</f>
        <v>19082.81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9"/>
    <col collapsed="false" customWidth="true" hidden="false" outlineLevel="0" max="5" min="5" style="0" width="7"/>
    <col collapsed="false" customWidth="true" hidden="false" outlineLevel="0" max="7" min="6" style="0" width="11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7" t="s">
        <v>199</v>
      </c>
    </row>
    <row r="2" customFormat="false" ht="15" hidden="false" customHeight="false" outlineLevel="0" collapsed="false">
      <c r="A2" s="18" t="s">
        <v>200</v>
      </c>
    </row>
    <row r="4" customFormat="false" ht="30" hidden="false" customHeight="true" outlineLevel="0" collapsed="false">
      <c r="A4" s="19" t="s">
        <v>31</v>
      </c>
      <c r="B4" s="19" t="s">
        <v>17</v>
      </c>
      <c r="C4" s="19" t="s">
        <v>18</v>
      </c>
      <c r="D4" s="19" t="s">
        <v>19</v>
      </c>
      <c r="E4" s="19" t="s">
        <v>20</v>
      </c>
      <c r="F4" s="19" t="s">
        <v>185</v>
      </c>
      <c r="G4" s="19" t="s">
        <v>186</v>
      </c>
      <c r="H4" s="19" t="s">
        <v>187</v>
      </c>
      <c r="I4" s="19" t="s">
        <v>189</v>
      </c>
    </row>
    <row r="5" customFormat="false" ht="15" hidden="false" customHeight="false" outlineLevel="0" collapsed="false">
      <c r="A5" s="27" t="s">
        <v>56</v>
      </c>
      <c r="B5" s="28" t="n">
        <f aca="false">SUMIFS('Base Bruta'!$F$5:$F$145,'Base Bruta'!$C$5:$C$145,$A5,'Base Bruta'!$S$5:$S$145,"Sim")</f>
        <v>168407</v>
      </c>
      <c r="C5" s="28" t="n">
        <f aca="false">SUMIFS('Base Bruta'!$G$5:$G$145,'Base Bruta'!$C$5:$C$145,$A5,'Base Bruta'!$S$5:$S$145,"Sim")</f>
        <v>4477</v>
      </c>
      <c r="D5" s="28" t="n">
        <f aca="false">SUMIFS('Base Bruta'!$I$5:$I$145,'Base Bruta'!$C$5:$C$145,$A5,'Base Bruta'!$S$5:$S$145,"Sim")</f>
        <v>2842</v>
      </c>
      <c r="E5" s="28" t="n">
        <f aca="false">SUMIFS('Base Bruta'!$Q$5:$Q$145,'Base Bruta'!$C$5:$C$145,$A5,'Base Bruta'!$S$5:$S$145,"Sim")</f>
        <v>1276</v>
      </c>
      <c r="F5" s="31" t="n">
        <f aca="false">IFERROR(D5/B5,0)</f>
        <v>0.0168757830731502</v>
      </c>
      <c r="G5" s="31" t="n">
        <f aca="false">IFERROR(E5/B5,0)</f>
        <v>0.00757688219610824</v>
      </c>
      <c r="H5" s="32" t="n">
        <f aca="false">SUMIFS('Base Bruta'!$H$5:$H$145,'Base Bruta'!$C$5:$C$145,$A5,'Base Bruta'!$S$5:$S$145,"Sim")*Dashboard!$B$5</f>
        <v>104311.911</v>
      </c>
      <c r="I5" s="32" t="n">
        <f aca="false">IFERROR(H5/D5,0)</f>
        <v>36.7036984517945</v>
      </c>
    </row>
    <row r="6" customFormat="false" ht="15" hidden="false" customHeight="false" outlineLevel="0" collapsed="false">
      <c r="A6" s="24" t="s">
        <v>118</v>
      </c>
      <c r="B6" s="25" t="n">
        <f aca="false">SUMIFS('Base Bruta'!$F$5:$F$145,'Base Bruta'!$C$5:$C$145,$A6,'Base Bruta'!$S$5:$S$145,"Sim")</f>
        <v>26</v>
      </c>
      <c r="C6" s="25" t="n">
        <f aca="false">SUMIFS('Base Bruta'!$G$5:$G$145,'Base Bruta'!$C$5:$C$145,$A6,'Base Bruta'!$S$5:$S$145,"Sim")</f>
        <v>2</v>
      </c>
      <c r="D6" s="25" t="n">
        <f aca="false">SUMIFS('Base Bruta'!$I$5:$I$145,'Base Bruta'!$C$5:$C$145,$A6,'Base Bruta'!$S$5:$S$145,"Sim")</f>
        <v>2</v>
      </c>
      <c r="E6" s="25" t="n">
        <f aca="false">SUMIFS('Base Bruta'!$Q$5:$Q$145,'Base Bruta'!$C$5:$C$145,$A6,'Base Bruta'!$S$5:$S$145,"Sim")</f>
        <v>2</v>
      </c>
      <c r="F6" s="34" t="n">
        <f aca="false">IFERROR(D6/B6,0)</f>
        <v>0.0769230769230769</v>
      </c>
      <c r="G6" s="34" t="n">
        <f aca="false">IFERROR(E6/B6,0)</f>
        <v>0.0769230769230769</v>
      </c>
      <c r="H6" s="35" t="n">
        <f aca="false">SUMIFS('Base Bruta'!$H$5:$H$145,'Base Bruta'!$C$5:$C$145,$A6,'Base Bruta'!$S$5:$S$145,"Sim")*Dashboard!$B$5</f>
        <v>99.498</v>
      </c>
      <c r="I6" s="35" t="n">
        <f aca="false">IFERROR(H6/D6,0)</f>
        <v>49.749</v>
      </c>
    </row>
    <row r="7" customFormat="false" ht="15" hidden="false" customHeight="false" outlineLevel="0" collapsed="false">
      <c r="A7" s="27" t="s">
        <v>53</v>
      </c>
      <c r="B7" s="28" t="n">
        <f aca="false">SUMIFS('Base Bruta'!$F$5:$F$145,'Base Bruta'!$C$5:$C$145,$A7,'Base Bruta'!$S$5:$S$145,"Sim")</f>
        <v>15687</v>
      </c>
      <c r="C7" s="28" t="n">
        <f aca="false">SUMIFS('Base Bruta'!$G$5:$G$145,'Base Bruta'!$C$5:$C$145,$A7,'Base Bruta'!$S$5:$S$145,"Sim")</f>
        <v>3009</v>
      </c>
      <c r="D7" s="28" t="n">
        <f aca="false">SUMIFS('Base Bruta'!$I$5:$I$145,'Base Bruta'!$C$5:$C$145,$A7,'Base Bruta'!$S$5:$S$145,"Sim")</f>
        <v>1577</v>
      </c>
      <c r="E7" s="28" t="n">
        <f aca="false">SUMIFS('Base Bruta'!$Q$5:$Q$145,'Base Bruta'!$C$5:$C$145,$A7,'Base Bruta'!$S$5:$S$145,"Sim")</f>
        <v>1001</v>
      </c>
      <c r="F7" s="31" t="n">
        <f aca="false">IFERROR(D7/B7,0)</f>
        <v>0.100529100529101</v>
      </c>
      <c r="G7" s="31" t="n">
        <f aca="false">IFERROR(E7/B7,0)</f>
        <v>0.0638107987505578</v>
      </c>
      <c r="H7" s="32" t="n">
        <f aca="false">SUMIFS('Base Bruta'!$H$5:$H$145,'Base Bruta'!$C$5:$C$145,$A7,'Base Bruta'!$S$5:$S$145,"Sim")*Dashboard!$B$5</f>
        <v>58130.831</v>
      </c>
      <c r="I7" s="32" t="n">
        <f aca="false">IFERROR(H7/D7,0)</f>
        <v>36.8616556753329</v>
      </c>
    </row>
    <row r="8" customFormat="false" ht="15" hidden="false" customHeight="false" outlineLevel="0" collapsed="false">
      <c r="A8" s="37" t="s">
        <v>198</v>
      </c>
      <c r="B8" s="38" t="n">
        <f aca="false">SUM(B5:B7)</f>
        <v>184120</v>
      </c>
      <c r="C8" s="38" t="n">
        <f aca="false">SUM(C5:C7)</f>
        <v>7488</v>
      </c>
      <c r="D8" s="38" t="n">
        <f aca="false">SUM(D5:D7)</f>
        <v>4421</v>
      </c>
      <c r="E8" s="38" t="n">
        <f aca="false">SUM(E5:E7)</f>
        <v>2279</v>
      </c>
      <c r="F8" s="39" t="n">
        <f aca="false">IFERROR(D8/B8,0)</f>
        <v>0.0240115142298501</v>
      </c>
      <c r="G8" s="39" t="n">
        <f aca="false">IFERROR(E8/B8,0)</f>
        <v>0.0123777970888551</v>
      </c>
      <c r="H8" s="40" t="n">
        <f aca="false">SUM(H5:H7)</f>
        <v>162542.24</v>
      </c>
      <c r="I8" s="40" t="n">
        <f aca="false">IFERROR(H8/D8,0)</f>
        <v>36.7659443564804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2026-08-28T12:24:44Z</dcterms:created>
  <dc:creator>openpyxl</dc:creator>
  <dc:description/>
  <dc:language>en-US</dc:language>
  <cp:lastModifiedBy/>
  <dcterms:modified xsi:type="dcterms:W3CDTF">2026-08-28T12:24:46Z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