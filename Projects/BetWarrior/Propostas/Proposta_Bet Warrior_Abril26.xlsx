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T WARRIOR" sheetId="1" r:id="rId5"/>
    <sheet state="visible" name="Audiências ThridParty " sheetId="2" r:id="rId6"/>
  </sheets>
  <definedNames>
    <definedName name="_xlchart.v1.0">#REF!</definedName>
    <definedName name="_xlchart.v1.1">#REF!</definedName>
  </definedNames>
  <calcPr/>
</workbook>
</file>

<file path=xl/sharedStrings.xml><?xml version="1.0" encoding="utf-8"?>
<sst xmlns="http://schemas.openxmlformats.org/spreadsheetml/2006/main" count="69" uniqueCount="69">
  <si>
    <t xml:space="preserve"> PLANO DE MÍDIA - PROPOSTA</t>
  </si>
  <si>
    <t>BET WARRIOR</t>
  </si>
  <si>
    <t>Campanha</t>
  </si>
  <si>
    <t>Bet Warrior</t>
  </si>
  <si>
    <t>Período</t>
  </si>
  <si>
    <t>Budget</t>
  </si>
  <si>
    <t>KPI's ESTIMADOS</t>
  </si>
  <si>
    <t>BUDGET</t>
  </si>
  <si>
    <t>ESTRATÉGIA</t>
  </si>
  <si>
    <t>ALVO</t>
  </si>
  <si>
    <t>GEO</t>
  </si>
  <si>
    <t>Formato</t>
  </si>
  <si>
    <t>AUDIÊNCIAS</t>
  </si>
  <si>
    <t>FORMATO</t>
  </si>
  <si>
    <t>MÉTRICA DE COMPRA</t>
  </si>
  <si>
    <t>IMPRESSÕES</t>
  </si>
  <si>
    <t>CLIQUES</t>
  </si>
  <si>
    <t>CTR</t>
  </si>
  <si>
    <t xml:space="preserve">CPM </t>
  </si>
  <si>
    <t>CPCV</t>
  </si>
  <si>
    <t>VTR</t>
  </si>
  <si>
    <t>Views Completos</t>
  </si>
  <si>
    <t>Investimento Bruto</t>
  </si>
  <si>
    <t>Investimento Líquido</t>
  </si>
  <si>
    <t>% Canal</t>
  </si>
  <si>
    <t xml:space="preserve">Awareness </t>
  </si>
  <si>
    <r>
      <rPr>
        <rFont val="Calibri"/>
        <b/>
        <color theme="1"/>
        <sz val="9.0"/>
      </rPr>
      <t xml:space="preserve">H/M | ABCD | 18+ Interesse e Afinidade: </t>
    </r>
    <r>
      <rPr>
        <rFont val="Calibri"/>
        <b val="0"/>
        <color theme="1"/>
        <sz val="9.0"/>
      </rPr>
      <t>Apostas Esportivas, Casino, Poker e Jogos de Cartas em geral e mais</t>
    </r>
  </si>
  <si>
    <r>
      <rPr>
        <rFont val="Calibri"/>
        <b/>
        <color theme="1"/>
        <sz val="9.0"/>
      </rPr>
      <t xml:space="preserve">São Paulo </t>
    </r>
    <r>
      <rPr>
        <rFont val="Calibri"/>
        <b val="0"/>
        <color theme="1"/>
        <sz val="9.0"/>
      </rPr>
      <t>(SP),</t>
    </r>
    <r>
      <rPr>
        <rFont val="Calibri"/>
        <b/>
        <color theme="1"/>
        <sz val="9.0"/>
      </rPr>
      <t xml:space="preserve"> Santa Catarina </t>
    </r>
    <r>
      <rPr>
        <rFont val="Calibri"/>
        <b val="0"/>
        <color theme="1"/>
        <sz val="9.0"/>
      </rPr>
      <t>(SC)</t>
    </r>
    <r>
      <rPr>
        <rFont val="Calibri"/>
        <b/>
        <color theme="1"/>
        <sz val="9.0"/>
      </rPr>
      <t xml:space="preserve">, Paraná </t>
    </r>
    <r>
      <rPr>
        <rFont val="Calibri"/>
        <b val="0"/>
        <color theme="1"/>
        <sz val="9.0"/>
      </rPr>
      <t>(PR)</t>
    </r>
    <r>
      <rPr>
        <rFont val="Calibri"/>
        <b/>
        <color theme="1"/>
        <sz val="9.0"/>
      </rPr>
      <t xml:space="preserve">, Distrito Federal </t>
    </r>
    <r>
      <rPr>
        <rFont val="Calibri"/>
        <b val="0"/>
        <color theme="1"/>
        <sz val="9.0"/>
      </rPr>
      <t>(DF),</t>
    </r>
    <r>
      <rPr>
        <rFont val="Calibri"/>
        <b/>
        <color theme="1"/>
        <sz val="9.0"/>
      </rPr>
      <t xml:space="preserve"> Rio Grande do Sul</t>
    </r>
    <r>
      <rPr>
        <rFont val="Calibri"/>
        <b val="0"/>
        <color theme="1"/>
        <sz val="9.0"/>
      </rPr>
      <t xml:space="preserve"> (RS),</t>
    </r>
    <r>
      <rPr>
        <rFont val="Calibri"/>
        <b/>
        <color theme="1"/>
        <sz val="9.0"/>
      </rPr>
      <t xml:space="preserve"> Minas Gerais</t>
    </r>
    <r>
      <rPr>
        <rFont val="Calibri"/>
        <b val="0"/>
        <color theme="1"/>
        <sz val="9.0"/>
      </rPr>
      <t xml:space="preserve"> (MG)</t>
    </r>
  </si>
  <si>
    <t>Streaming Ads</t>
  </si>
  <si>
    <t>Brazilian Football,
Campeonato Brasileiro.
Soccer Fans in Brazil, Sports Games, Sports Gambling, Games Online  and more.</t>
  </si>
  <si>
    <t>Video In Banner</t>
  </si>
  <si>
    <t>CPM</t>
  </si>
  <si>
    <t>TOTAL</t>
  </si>
  <si>
    <r>
      <rPr>
        <rFont val="Calibri"/>
        <b/>
        <i/>
        <color rgb="FFFFFF00"/>
      </rPr>
      <t xml:space="preserve">Bonificação: </t>
    </r>
    <r>
      <rPr>
        <rFont val="Calibri"/>
        <b/>
        <i/>
        <color rgb="FFFFFFFF"/>
      </rPr>
      <t>Desdobramento do Streaming Ads em Até 8 dimensões</t>
    </r>
  </si>
  <si>
    <t>*Os kpi's desta proposta são estimados e estão sujeitos a alteração mediante a ajustes nos detalhes da proposta</t>
  </si>
  <si>
    <t>Audiências</t>
  </si>
  <si>
    <t>Audiências Third Party</t>
  </si>
  <si>
    <t>Affinity Categories » Media &amp; Entertainment » Gamers</t>
  </si>
  <si>
    <t>Brazilian Football</t>
  </si>
  <si>
    <t>Affinity Categories » Media &amp; Entertainment » Gamers » Action Game Fans</t>
  </si>
  <si>
    <t>Campeonato Brasileiro</t>
  </si>
  <si>
    <t>Affinity Categories » Media &amp; Entertainment » Gamers » Adventure &amp; Strategy Game Fans</t>
  </si>
  <si>
    <t>Soccer Fans in Brazil</t>
  </si>
  <si>
    <t>Affinity Categories » Media &amp; Entertainment » Gamers » Casual &amp; Social Gamers</t>
  </si>
  <si>
    <t>Sport News Readers</t>
  </si>
  <si>
    <t>Affinity Categories » Media &amp; Entertainment » Gamers » Driving &amp; Racing Game Fans</t>
  </si>
  <si>
    <t>Sports Enthusiasts (comportamentais)</t>
  </si>
  <si>
    <t>Affinity Categories » Media &amp; Entertainment » Gamers » Hardcore Gamers</t>
  </si>
  <si>
    <t>Aficionados por Futebol (com base em navegação e apps)</t>
  </si>
  <si>
    <t>Affinity Categories » Media &amp; Entertainment » Gamers » Roleplaying Game Fans</t>
  </si>
  <si>
    <t>Bettors &amp; Gambling Enthusiasts (ótimo fit com o público da Bet)</t>
  </si>
  <si>
    <t>Affinity Categories » Media &amp; Entertainment » Gamers » Shooter Game Fans</t>
  </si>
  <si>
    <t>Affinity Categories » Media &amp; Entertainment » Gamers » Sports Game Fans</t>
  </si>
  <si>
    <t>Affinity Categories » Sports &amp; Fitness » Sports Fans</t>
  </si>
  <si>
    <t>Interest » Games</t>
  </si>
  <si>
    <t>Interest » Games » Jogos Eletrônicos</t>
  </si>
  <si>
    <t>Interest » Games » Electronic Games » Jogos Casuais</t>
  </si>
  <si>
    <t>Interest » Games » Electronic Games » Jogos de Esporte</t>
  </si>
  <si>
    <t>Interest » Games » Jogos online</t>
  </si>
  <si>
    <t>Entertainment » Entertainment » Interest » Gambling » Game Type » Bingo</t>
  </si>
  <si>
    <t>Entertainment » Entertainment » Interest » Gambling » Game Type » Dog Racing</t>
  </si>
  <si>
    <t>Entertainment » Entertainment » Interest » Gambling » Game Type » Horse Racing</t>
  </si>
  <si>
    <t>Entertainment » Entertainment » Interest » Gambling » Game Type » Lottery</t>
  </si>
  <si>
    <t>Entertainment » Entertainment » Interest » Gambling » Game Type » Scratchcards</t>
  </si>
  <si>
    <t>Entertainment » Entertainment » Interest » Gambling » Game Type » Slot Machines</t>
  </si>
  <si>
    <t>Entertainment » Entertainment » Interest » Gambling » Game Type » Sports Gambling</t>
  </si>
  <si>
    <t>Importante:</t>
  </si>
  <si>
    <t xml:space="preserve">* Esses são exemplos de listas de audiência que podemos utilizar para entregar e otimizar a campanha </t>
  </si>
  <si>
    <t>* A utilização simultânea de todos os filtros não é viável, pois pode restringir o andamento da entrega e comprometer tanto a performance quanto as impressões contratadas.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</si>
</sst>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]#,##0.00"/>
    <numFmt numFmtId="165" formatCode="mmmm / yyyy"/>
    <numFmt numFmtId="166" formatCode="[$R$ -416]#,##0.00"/>
    <numFmt numFmtId="167" formatCode="#,##0_ ;\-#,##0\ "/>
    <numFmt numFmtId="168" formatCode="dd/mm"/>
    <numFmt numFmtId="169" formatCode="d/m"/>
  </numFmts>
  <fonts count="23">
    <font>
      <sz val="11.0"/>
      <color theme="1"/>
      <name val="Calibri"/>
      <scheme val="minor"/>
    </font>
    <font>
      <sz val="10.0"/>
      <color theme="1"/>
      <name val="Calibri"/>
      <scheme val="minor"/>
    </font>
    <font>
      <b/>
      <sz val="26.0"/>
      <color rgb="FFFFFFFF"/>
      <name val="Calibri"/>
    </font>
    <font>
      <b/>
      <sz val="11.0"/>
      <color rgb="FFFFFFFF"/>
      <name val="Century Gothic"/>
    </font>
    <font>
      <b/>
      <sz val="11.0"/>
      <color theme="1"/>
      <name val="Century Gothic"/>
    </font>
    <font>
      <b/>
      <color rgb="FF0000FF"/>
      <name val="Century Gothic"/>
    </font>
    <font>
      <sz val="11.0"/>
      <color theme="1"/>
      <name val="Calibri"/>
    </font>
    <font>
      <color theme="1"/>
      <name val="Century Gothic"/>
    </font>
    <font>
      <color theme="1"/>
      <name val="Calibri"/>
    </font>
    <font>
      <color rgb="FFF3F3F3"/>
      <name val="Calibri"/>
    </font>
    <font>
      <b/>
      <sz val="11.0"/>
      <color theme="1"/>
      <name val="Calibri"/>
    </font>
    <font/>
    <font>
      <b/>
      <sz val="9.0"/>
      <color rgb="FFFFFFFF"/>
      <name val="Calibri"/>
    </font>
    <font>
      <b/>
      <sz val="11.0"/>
      <color rgb="FFFFFFFF"/>
      <name val="Calibri"/>
    </font>
    <font>
      <b/>
      <sz val="9.0"/>
      <color theme="1"/>
      <name val="Calibri"/>
    </font>
    <font>
      <sz val="9.0"/>
      <color theme="1"/>
      <name val="Calibri"/>
    </font>
    <font>
      <b/>
      <i/>
      <color rgb="FFFFFFFF"/>
      <name val="Calibri"/>
    </font>
    <font>
      <i/>
      <sz val="8.0"/>
      <color theme="1"/>
      <name val="Arial"/>
    </font>
    <font>
      <b/>
      <sz val="10.0"/>
      <color theme="1"/>
      <name val="Calibri"/>
      <scheme val="minor"/>
    </font>
    <font>
      <b/>
      <color rgb="FFFFFFFF"/>
      <name val="Calibri"/>
    </font>
    <font>
      <color rgb="FF000000"/>
      <name val="Calibri"/>
    </font>
    <font>
      <color theme="1"/>
      <name val="Calibri"/>
      <scheme val="minor"/>
    </font>
    <font>
      <sz val="10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4A86E8"/>
        <bgColor rgb="FF4A86E8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3F3F3F"/>
        <bgColor rgb="FF3F3F3F"/>
      </patternFill>
    </fill>
    <fill>
      <patternFill patternType="solid">
        <fgColor rgb="FF999999"/>
        <bgColor rgb="FF999999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0E2E52"/>
        <bgColor rgb="FF0E2E52"/>
      </patternFill>
    </fill>
  </fills>
  <borders count="24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hair">
        <color rgb="FF000000"/>
      </left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2" fontId="2" numFmtId="10" xfId="0" applyAlignment="1" applyFill="1" applyFont="1" applyNumberFormat="1">
      <alignment horizontal="left" vertical="center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6" numFmtId="0" xfId="0" applyFont="1"/>
    <xf borderId="0" fillId="4" fontId="6" numFmtId="164" xfId="0" applyFont="1" applyNumberFormat="1"/>
    <xf borderId="0" fillId="4" fontId="6" numFmtId="10" xfId="0" applyFont="1" applyNumberFormat="1"/>
    <xf borderId="0" fillId="4" fontId="6" numFmtId="0" xfId="0" applyFont="1"/>
    <xf borderId="0" fillId="4" fontId="7" numFmtId="165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vertical="center"/>
    </xf>
    <xf borderId="0" fillId="4" fontId="6" numFmtId="166" xfId="0" applyFont="1" applyNumberFormat="1"/>
    <xf borderId="0" fillId="4" fontId="6" numFmtId="9" xfId="0" applyFont="1" applyNumberFormat="1"/>
    <xf borderId="0" fillId="4" fontId="8" numFmtId="164" xfId="0" applyAlignment="1" applyFont="1" applyNumberFormat="1">
      <alignment horizontal="center" readingOrder="0" shrinkToFit="0" vertical="center" wrapText="1"/>
    </xf>
    <xf borderId="0" fillId="5" fontId="6" numFmtId="0" xfId="0" applyAlignment="1" applyFill="1" applyFont="1">
      <alignment horizontal="center" vertical="center"/>
    </xf>
    <xf borderId="0" fillId="4" fontId="9" numFmtId="164" xfId="0" applyAlignment="1" applyFont="1" applyNumberFormat="1">
      <alignment horizontal="center" shrinkToFit="0" vertical="center" wrapText="1"/>
    </xf>
    <xf borderId="0" fillId="0" fontId="6" numFmtId="0" xfId="0" applyFont="1"/>
    <xf borderId="0" fillId="0" fontId="6" numFmtId="0" xfId="0" applyAlignment="1" applyFont="1">
      <alignment vertical="bottom"/>
    </xf>
    <xf borderId="0" fillId="0" fontId="6" numFmtId="164" xfId="0" applyFont="1" applyNumberFormat="1"/>
    <xf borderId="0" fillId="0" fontId="6" numFmtId="166" xfId="0" applyFont="1" applyNumberFormat="1"/>
    <xf borderId="0" fillId="0" fontId="6" numFmtId="9" xfId="0" applyFont="1" applyNumberFormat="1"/>
    <xf borderId="0" fillId="0" fontId="6" numFmtId="0" xfId="0" applyFont="1"/>
    <xf borderId="0" fillId="0" fontId="6" numFmtId="0" xfId="0" applyAlignment="1" applyFont="1">
      <alignment vertical="center"/>
    </xf>
    <xf borderId="0" fillId="0" fontId="6" numFmtId="166" xfId="0" applyAlignment="1" applyFont="1" applyNumberFormat="1">
      <alignment vertical="center"/>
    </xf>
    <xf borderId="0" fillId="0" fontId="6" numFmtId="9" xfId="0" applyAlignment="1" applyFont="1" applyNumberFormat="1">
      <alignment vertical="center"/>
    </xf>
    <xf borderId="1" fillId="4" fontId="10" numFmtId="164" xfId="0" applyAlignment="1" applyBorder="1" applyFont="1" applyNumberFormat="1">
      <alignment horizontal="center" vertical="center"/>
    </xf>
    <xf borderId="2" fillId="0" fontId="11" numFmtId="0" xfId="0" applyBorder="1" applyFont="1"/>
    <xf borderId="3" fillId="0" fontId="11" numFmtId="0" xfId="0" applyBorder="1" applyFont="1"/>
    <xf borderId="4" fillId="4" fontId="10" numFmtId="164" xfId="0" applyAlignment="1" applyBorder="1" applyFont="1" applyNumberFormat="1">
      <alignment horizontal="center" readingOrder="0" vertical="center"/>
    </xf>
    <xf borderId="5" fillId="6" fontId="12" numFmtId="0" xfId="0" applyAlignment="1" applyBorder="1" applyFill="1" applyFont="1">
      <alignment horizontal="center" vertical="center"/>
    </xf>
    <xf borderId="6" fillId="6" fontId="12" numFmtId="0" xfId="0" applyAlignment="1" applyBorder="1" applyFont="1">
      <alignment horizontal="center" shrinkToFit="0" vertical="center" wrapText="1"/>
    </xf>
    <xf borderId="7" fillId="6" fontId="12" numFmtId="0" xfId="0" applyAlignment="1" applyBorder="1" applyFont="1">
      <alignment horizontal="center" shrinkToFit="0" vertical="center" wrapText="1"/>
    </xf>
    <xf borderId="6" fillId="6" fontId="12" numFmtId="0" xfId="0" applyAlignment="1" applyBorder="1" applyFont="1">
      <alignment horizontal="center" shrinkToFit="0" vertical="center" wrapText="1"/>
    </xf>
    <xf borderId="8" fillId="7" fontId="12" numFmtId="0" xfId="0" applyAlignment="1" applyBorder="1" applyFill="1" applyFont="1">
      <alignment horizontal="center" shrinkToFit="0" vertical="center" wrapText="1"/>
    </xf>
    <xf borderId="8" fillId="7" fontId="12" numFmtId="164" xfId="0" applyAlignment="1" applyBorder="1" applyFont="1" applyNumberFormat="1">
      <alignment horizontal="center" shrinkToFit="0" vertical="center" wrapText="1"/>
    </xf>
    <xf borderId="9" fillId="7" fontId="12" numFmtId="164" xfId="0" applyAlignment="1" applyBorder="1" applyFont="1" applyNumberFormat="1">
      <alignment horizontal="center" shrinkToFit="0" vertical="center" wrapText="1"/>
    </xf>
    <xf borderId="10" fillId="7" fontId="12" numFmtId="164" xfId="0" applyAlignment="1" applyBorder="1" applyFont="1" applyNumberFormat="1">
      <alignment horizontal="center" shrinkToFit="0" vertical="center" wrapText="1"/>
    </xf>
    <xf borderId="11" fillId="8" fontId="13" numFmtId="164" xfId="0" applyAlignment="1" applyBorder="1" applyFill="1" applyFont="1" applyNumberFormat="1">
      <alignment horizontal="center" readingOrder="0" shrinkToFit="0" vertical="center" wrapText="1"/>
    </xf>
    <xf borderId="12" fillId="8" fontId="13" numFmtId="10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14" fillId="0" fontId="14" numFmtId="0" xfId="0" applyAlignment="1" applyBorder="1" applyFont="1">
      <alignment horizontal="center" readingOrder="0" shrinkToFit="0" vertical="center" wrapText="1"/>
    </xf>
    <xf borderId="14" fillId="0" fontId="15" numFmtId="167" xfId="0" applyAlignment="1" applyBorder="1" applyFont="1" applyNumberFormat="1">
      <alignment horizontal="center" readingOrder="0" shrinkToFit="0" vertical="center" wrapText="1"/>
    </xf>
    <xf borderId="14" fillId="9" fontId="15" numFmtId="167" xfId="0" applyAlignment="1" applyBorder="1" applyFill="1" applyFont="1" applyNumberFormat="1">
      <alignment horizontal="center" shrinkToFit="0" vertical="center" wrapText="1"/>
    </xf>
    <xf borderId="15" fillId="10" fontId="14" numFmtId="167" xfId="0" applyAlignment="1" applyBorder="1" applyFill="1" applyFont="1" applyNumberFormat="1">
      <alignment horizontal="center" vertical="center"/>
    </xf>
    <xf borderId="16" fillId="0" fontId="15" numFmtId="167" xfId="0" applyAlignment="1" applyBorder="1" applyFont="1" applyNumberFormat="1">
      <alignment horizontal="center" vertical="center"/>
    </xf>
    <xf borderId="17" fillId="9" fontId="15" numFmtId="3" xfId="0" applyAlignment="1" applyBorder="1" applyFont="1" applyNumberFormat="1">
      <alignment horizontal="center" vertical="center"/>
    </xf>
    <xf borderId="16" fillId="9" fontId="15" numFmtId="10" xfId="0" applyAlignment="1" applyBorder="1" applyFont="1" applyNumberFormat="1">
      <alignment horizontal="center" vertical="center"/>
    </xf>
    <xf borderId="16" fillId="10" fontId="15" numFmtId="166" xfId="0" applyAlignment="1" applyBorder="1" applyFont="1" applyNumberFormat="1">
      <alignment horizontal="center" readingOrder="0" vertical="center"/>
    </xf>
    <xf borderId="16" fillId="9" fontId="15" numFmtId="166" xfId="0" applyAlignment="1" applyBorder="1" applyFont="1" applyNumberFormat="1">
      <alignment horizontal="center" vertical="center"/>
    </xf>
    <xf borderId="16" fillId="9" fontId="15" numFmtId="9" xfId="0" applyAlignment="1" applyBorder="1" applyFont="1" applyNumberFormat="1">
      <alignment horizontal="center" vertical="center"/>
    </xf>
    <xf borderId="14" fillId="9" fontId="15" numFmtId="3" xfId="0" applyAlignment="1" applyBorder="1" applyFont="1" applyNumberFormat="1">
      <alignment horizontal="center" vertical="center"/>
    </xf>
    <xf borderId="18" fillId="0" fontId="15" numFmtId="166" xfId="0" applyAlignment="1" applyBorder="1" applyFont="1" applyNumberFormat="1">
      <alignment horizontal="center" vertical="center"/>
    </xf>
    <xf borderId="16" fillId="0" fontId="15" numFmtId="166" xfId="0" applyAlignment="1" applyBorder="1" applyFont="1" applyNumberFormat="1">
      <alignment horizontal="center" vertical="center"/>
    </xf>
    <xf borderId="19" fillId="0" fontId="15" numFmtId="9" xfId="0" applyAlignment="1" applyBorder="1" applyFont="1" applyNumberFormat="1">
      <alignment horizontal="center" vertical="center"/>
    </xf>
    <xf borderId="6" fillId="11" fontId="10" numFmtId="0" xfId="0" applyAlignment="1" applyBorder="1" applyFill="1" applyFont="1">
      <alignment horizontal="center" vertical="center"/>
    </xf>
    <xf borderId="6" fillId="11" fontId="6" numFmtId="0" xfId="0" applyAlignment="1" applyBorder="1" applyFont="1">
      <alignment horizontal="center" vertical="center"/>
    </xf>
    <xf borderId="6" fillId="11" fontId="6" numFmtId="167" xfId="0" applyAlignment="1" applyBorder="1" applyFont="1" applyNumberFormat="1">
      <alignment horizontal="center" vertical="center"/>
    </xf>
    <xf borderId="20" fillId="11" fontId="14" numFmtId="3" xfId="0" applyAlignment="1" applyBorder="1" applyFont="1" applyNumberFormat="1">
      <alignment horizontal="center" vertical="center"/>
    </xf>
    <xf borderId="20" fillId="12" fontId="14" numFmtId="10" xfId="0" applyAlignment="1" applyBorder="1" applyFill="1" applyFont="1" applyNumberFormat="1">
      <alignment horizontal="center" vertical="center"/>
    </xf>
    <xf borderId="20" fillId="12" fontId="14" numFmtId="166" xfId="0" applyAlignment="1" applyBorder="1" applyFont="1" applyNumberFormat="1">
      <alignment horizontal="center" vertical="center"/>
    </xf>
    <xf borderId="20" fillId="12" fontId="14" numFmtId="9" xfId="0" applyAlignment="1" applyBorder="1" applyFont="1" applyNumberFormat="1">
      <alignment horizontal="center" vertical="center"/>
    </xf>
    <xf borderId="20" fillId="12" fontId="14" numFmtId="3" xfId="0" applyAlignment="1" applyBorder="1" applyFont="1" applyNumberFormat="1">
      <alignment horizontal="center" vertical="center"/>
    </xf>
    <xf borderId="21" fillId="12" fontId="14" numFmtId="166" xfId="0" applyAlignment="1" applyBorder="1" applyFont="1" applyNumberFormat="1">
      <alignment horizontal="center" vertical="center"/>
    </xf>
    <xf borderId="22" fillId="12" fontId="14" numFmtId="9" xfId="0" applyAlignment="1" applyBorder="1" applyFont="1" applyNumberFormat="1">
      <alignment horizontal="center"/>
    </xf>
    <xf borderId="23" fillId="13" fontId="16" numFmtId="0" xfId="0" applyAlignment="1" applyBorder="1" applyFill="1" applyFont="1">
      <alignment vertical="center"/>
    </xf>
    <xf borderId="0" fillId="13" fontId="6" numFmtId="0" xfId="0" applyAlignment="1" applyFont="1">
      <alignment vertical="center"/>
    </xf>
    <xf borderId="0" fillId="13" fontId="6" numFmtId="166" xfId="0" applyAlignment="1" applyFont="1" applyNumberFormat="1">
      <alignment vertical="center"/>
    </xf>
    <xf borderId="0" fillId="0" fontId="17" numFmtId="167" xfId="0" applyAlignment="1" applyFont="1" applyNumberFormat="1">
      <alignment vertical="center"/>
    </xf>
    <xf borderId="0" fillId="0" fontId="18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0" fontId="18" numFmtId="0" xfId="0" applyAlignment="1" applyFont="1">
      <alignment horizontal="left" readingOrder="0"/>
    </xf>
    <xf borderId="0" fillId="0" fontId="1" numFmtId="10" xfId="0" applyFont="1" applyNumberFormat="1"/>
    <xf borderId="0" fillId="0" fontId="20" numFmtId="168" xfId="0" applyAlignment="1" applyFont="1" applyNumberFormat="1">
      <alignment horizontal="center" readingOrder="0"/>
    </xf>
    <xf borderId="0" fillId="0" fontId="20" numFmtId="0" xfId="0" applyAlignment="1" applyFon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21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0" numFmtId="169" xfId="0" applyAlignment="1" applyFont="1" applyNumberFormat="1">
      <alignment horizontal="center" readingOrder="0"/>
    </xf>
    <xf borderId="0" fillId="0" fontId="1" numFmtId="166" xfId="0" applyFont="1" applyNumberFormat="1"/>
    <xf borderId="0" fillId="14" fontId="1" numFmtId="0" xfId="0" applyFill="1" applyFont="1"/>
    <xf borderId="0" fillId="9" fontId="1" numFmtId="166" xfId="0" applyAlignment="1" applyFont="1" applyNumberFormat="1">
      <alignment readingOrder="0"/>
    </xf>
    <xf borderId="0" fillId="14" fontId="1" numFmtId="166" xfId="0" applyAlignment="1" applyFont="1" applyNumberFormat="1">
      <alignment readingOrder="0"/>
    </xf>
    <xf borderId="0" fillId="15" fontId="19" numFmtId="0" xfId="0" applyAlignment="1" applyFill="1" applyFont="1">
      <alignment horizontal="center" readingOrder="0" shrinkToFit="0" vertical="center" wrapText="1"/>
    </xf>
    <xf borderId="18" fillId="9" fontId="22" numFmtId="0" xfId="0" applyAlignment="1" applyBorder="1" applyFont="1">
      <alignment horizontal="center"/>
    </xf>
    <xf borderId="18" fillId="9" fontId="22" numFmtId="0" xfId="0" applyAlignment="1" applyBorder="1" applyFont="1">
      <alignment horizontal="center" readingOrder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542925</xdr:colOff>
      <xdr:row>2</xdr:row>
      <xdr:rowOff>85725</xdr:rowOff>
    </xdr:from>
    <xdr:ext cx="1971675" cy="60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29"/>
    <col customWidth="1" min="2" max="2" width="18.57"/>
    <col customWidth="1" min="3" max="3" width="19.43"/>
    <col customWidth="1" min="4" max="4" width="16.0"/>
    <col customWidth="1" min="5" max="5" width="19.86"/>
    <col customWidth="1" min="6" max="6" width="14.29"/>
    <col customWidth="1" min="7" max="8" width="13.57"/>
    <col customWidth="1" min="9" max="11" width="12.29"/>
    <col customWidth="1" min="12" max="12" width="10.86"/>
    <col customWidth="1" min="13" max="13" width="9.71"/>
    <col customWidth="1" min="14" max="14" width="12.29"/>
    <col customWidth="1" min="15" max="15" width="15.57"/>
    <col customWidth="1" min="16" max="16" width="16.0"/>
    <col customWidth="1" min="17" max="17" width="10.71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2"/>
      <c r="Q1" s="2"/>
    </row>
    <row r="2" ht="61.5" customHeight="1">
      <c r="A2" s="5" t="s">
        <v>0</v>
      </c>
    </row>
    <row r="3" ht="22.5" customHeight="1">
      <c r="A3" s="6" t="s">
        <v>1</v>
      </c>
      <c r="B3" s="7" t="s">
        <v>2</v>
      </c>
      <c r="C3" s="8" t="s">
        <v>3</v>
      </c>
      <c r="D3" s="9"/>
      <c r="E3" s="9"/>
      <c r="F3" s="10"/>
      <c r="G3" s="10"/>
      <c r="H3" s="10"/>
      <c r="I3" s="10"/>
      <c r="J3" s="10"/>
      <c r="K3" s="10"/>
      <c r="L3" s="10"/>
      <c r="M3" s="11"/>
      <c r="N3" s="11"/>
      <c r="O3" s="11"/>
      <c r="P3" s="12"/>
      <c r="Q3" s="13"/>
    </row>
    <row r="4" ht="22.5" customHeight="1">
      <c r="B4" s="7" t="s">
        <v>4</v>
      </c>
      <c r="C4" s="14">
        <v>46143.0</v>
      </c>
      <c r="D4" s="15"/>
      <c r="E4" s="15"/>
      <c r="F4" s="16"/>
      <c r="G4" s="17"/>
      <c r="H4" s="13"/>
      <c r="I4" s="10"/>
      <c r="J4" s="12"/>
      <c r="K4" s="10"/>
      <c r="L4" s="10"/>
      <c r="M4" s="11"/>
      <c r="N4" s="11"/>
      <c r="O4" s="11"/>
      <c r="P4" s="11"/>
      <c r="Q4" s="11"/>
    </row>
    <row r="5" ht="22.5" customHeight="1">
      <c r="B5" s="7" t="s">
        <v>5</v>
      </c>
      <c r="C5" s="18">
        <v>50000.0</v>
      </c>
      <c r="D5" s="19"/>
      <c r="E5" s="20">
        <v>125000.0</v>
      </c>
      <c r="F5" s="16"/>
      <c r="G5" s="17"/>
      <c r="H5" s="13"/>
      <c r="I5" s="10"/>
      <c r="J5" s="12"/>
      <c r="K5" s="10"/>
      <c r="L5" s="10"/>
      <c r="M5" s="11"/>
      <c r="N5" s="11"/>
      <c r="O5" s="11"/>
      <c r="P5" s="11"/>
      <c r="Q5" s="11"/>
    </row>
    <row r="6">
      <c r="A6" s="21"/>
      <c r="B6" s="21"/>
      <c r="C6" s="22"/>
      <c r="D6" s="21"/>
      <c r="E6" s="21"/>
      <c r="F6" s="23"/>
      <c r="G6" s="24"/>
      <c r="H6" s="25"/>
      <c r="I6" s="26"/>
      <c r="J6" s="26"/>
      <c r="K6" s="26"/>
      <c r="L6" s="26"/>
      <c r="M6" s="23"/>
      <c r="N6" s="23"/>
      <c r="O6" s="23"/>
      <c r="P6" s="23"/>
      <c r="Q6" s="23"/>
    </row>
    <row r="7" ht="19.5" customHeight="1">
      <c r="A7" s="27"/>
      <c r="B7" s="27"/>
      <c r="C7" s="27"/>
      <c r="D7" s="27"/>
      <c r="E7" s="27"/>
      <c r="F7" s="28"/>
      <c r="G7" s="29"/>
      <c r="H7" s="30" t="s">
        <v>6</v>
      </c>
      <c r="I7" s="31"/>
      <c r="J7" s="31"/>
      <c r="K7" s="31"/>
      <c r="L7" s="31"/>
      <c r="M7" s="31"/>
      <c r="N7" s="32"/>
      <c r="O7" s="33" t="s">
        <v>7</v>
      </c>
      <c r="P7" s="31"/>
      <c r="Q7" s="32"/>
    </row>
    <row r="8" ht="29.25" customHeight="1">
      <c r="A8" s="34" t="s">
        <v>8</v>
      </c>
      <c r="B8" s="35" t="s">
        <v>9</v>
      </c>
      <c r="C8" s="36" t="s">
        <v>10</v>
      </c>
      <c r="D8" s="35" t="s">
        <v>11</v>
      </c>
      <c r="E8" s="35" t="s">
        <v>12</v>
      </c>
      <c r="F8" s="35" t="s">
        <v>13</v>
      </c>
      <c r="G8" s="37" t="s">
        <v>14</v>
      </c>
      <c r="H8" s="38" t="s">
        <v>15</v>
      </c>
      <c r="I8" s="38" t="s">
        <v>16</v>
      </c>
      <c r="J8" s="39" t="s">
        <v>17</v>
      </c>
      <c r="K8" s="40" t="s">
        <v>18</v>
      </c>
      <c r="L8" s="41" t="s">
        <v>19</v>
      </c>
      <c r="M8" s="41" t="s">
        <v>20</v>
      </c>
      <c r="N8" s="41" t="s">
        <v>21</v>
      </c>
      <c r="O8" s="42" t="s">
        <v>22</v>
      </c>
      <c r="P8" s="42" t="s">
        <v>23</v>
      </c>
      <c r="Q8" s="43" t="s">
        <v>24</v>
      </c>
    </row>
    <row r="9" ht="110.25" customHeight="1">
      <c r="A9" s="44" t="s">
        <v>25</v>
      </c>
      <c r="B9" s="45" t="s">
        <v>26</v>
      </c>
      <c r="C9" s="45" t="s">
        <v>27</v>
      </c>
      <c r="D9" s="46" t="s">
        <v>28</v>
      </c>
      <c r="E9" s="47" t="s">
        <v>29</v>
      </c>
      <c r="F9" s="48" t="s">
        <v>30</v>
      </c>
      <c r="G9" s="49" t="s">
        <v>31</v>
      </c>
      <c r="H9" s="50">
        <f>P9/K9*1000</f>
        <v>2941176.471</v>
      </c>
      <c r="I9" s="51">
        <f>H9*J9</f>
        <v>5294.117647</v>
      </c>
      <c r="J9" s="52">
        <v>0.0018</v>
      </c>
      <c r="K9" s="53">
        <v>17.0</v>
      </c>
      <c r="L9" s="54">
        <f>P9/N9</f>
        <v>0.068</v>
      </c>
      <c r="M9" s="55">
        <v>0.25</v>
      </c>
      <c r="N9" s="56">
        <f>H9*M9</f>
        <v>735294.1176</v>
      </c>
      <c r="O9" s="57">
        <f>P9/0.8</f>
        <v>62500</v>
      </c>
      <c r="P9" s="58">
        <f>C5*Q9</f>
        <v>50000</v>
      </c>
      <c r="Q9" s="59">
        <v>1.0</v>
      </c>
    </row>
    <row r="10" ht="27.0" customHeight="1">
      <c r="A10" s="60" t="s">
        <v>32</v>
      </c>
      <c r="B10" s="61"/>
      <c r="C10" s="61"/>
      <c r="D10" s="61"/>
      <c r="E10" s="62"/>
      <c r="F10" s="62"/>
      <c r="G10" s="62"/>
      <c r="H10" s="63">
        <f t="shared" ref="H10:I10" si="1">SUM(H9)</f>
        <v>2941176.471</v>
      </c>
      <c r="I10" s="63">
        <f t="shared" si="1"/>
        <v>5294.117647</v>
      </c>
      <c r="J10" s="64">
        <f t="shared" ref="J10:P10" si="2">J9</f>
        <v>0.0018</v>
      </c>
      <c r="K10" s="65">
        <f t="shared" si="2"/>
        <v>17</v>
      </c>
      <c r="L10" s="65">
        <f t="shared" si="2"/>
        <v>0.068</v>
      </c>
      <c r="M10" s="66">
        <f t="shared" si="2"/>
        <v>0.25</v>
      </c>
      <c r="N10" s="67">
        <f t="shared" si="2"/>
        <v>735294.1176</v>
      </c>
      <c r="O10" s="68">
        <f t="shared" si="2"/>
        <v>62500</v>
      </c>
      <c r="P10" s="65">
        <f t="shared" si="2"/>
        <v>50000</v>
      </c>
      <c r="Q10" s="69">
        <f>SUM(Q9)</f>
        <v>1</v>
      </c>
    </row>
    <row r="11" ht="20.25" customHeight="1">
      <c r="A11" s="70" t="s">
        <v>33</v>
      </c>
      <c r="B11" s="71"/>
      <c r="C11" s="71"/>
      <c r="D11" s="71"/>
      <c r="E11" s="71"/>
      <c r="F11" s="71"/>
      <c r="G11" s="71"/>
      <c r="H11" s="72"/>
      <c r="I11" s="72"/>
      <c r="J11" s="72"/>
      <c r="K11" s="72"/>
      <c r="L11" s="71"/>
      <c r="M11" s="71"/>
      <c r="N11" s="71"/>
      <c r="O11" s="71"/>
      <c r="P11" s="71"/>
      <c r="Q11" s="71"/>
    </row>
    <row r="12">
      <c r="A12" s="73" t="s">
        <v>34</v>
      </c>
      <c r="C12" s="2"/>
      <c r="D12" s="1"/>
      <c r="G12" s="2"/>
      <c r="H12" s="2"/>
      <c r="I12" s="2"/>
      <c r="J12" s="2"/>
      <c r="K12" s="2"/>
      <c r="L12" s="2"/>
      <c r="M12" s="1"/>
      <c r="N12" s="1"/>
      <c r="O12" s="2"/>
      <c r="P12" s="2"/>
      <c r="Q12" s="2"/>
    </row>
    <row r="13">
      <c r="A13" s="2"/>
      <c r="B13" s="74"/>
      <c r="C13" s="75"/>
      <c r="D13" s="76"/>
      <c r="G13" s="2"/>
      <c r="H13" s="2"/>
      <c r="I13" s="2"/>
      <c r="J13" s="1"/>
      <c r="K13" s="77"/>
      <c r="L13" s="2"/>
      <c r="M13" s="1"/>
      <c r="N13" s="2"/>
      <c r="O13" s="2"/>
      <c r="P13" s="2"/>
      <c r="Q13" s="2"/>
    </row>
    <row r="14" hidden="1">
      <c r="A14" s="2"/>
      <c r="C14" s="78"/>
      <c r="D14" s="1"/>
      <c r="G14" s="2"/>
      <c r="H14" s="2"/>
      <c r="I14" s="2"/>
      <c r="J14" s="2"/>
      <c r="K14" s="77"/>
      <c r="L14" s="2"/>
      <c r="M14" s="1"/>
      <c r="N14" s="2"/>
      <c r="O14" s="2"/>
      <c r="P14" s="2"/>
      <c r="Q14" s="2"/>
    </row>
    <row r="15" hidden="1">
      <c r="A15" s="2"/>
      <c r="B15" s="79"/>
      <c r="C15" s="78"/>
      <c r="D15" s="1"/>
      <c r="G15" s="1"/>
      <c r="H15" s="1"/>
      <c r="I15" s="1"/>
      <c r="J15" s="2"/>
      <c r="K15" s="2"/>
      <c r="L15" s="2"/>
      <c r="M15" s="1"/>
      <c r="N15" s="2"/>
      <c r="O15" s="2"/>
      <c r="P15" s="2"/>
      <c r="Q15" s="2"/>
    </row>
    <row r="16" hidden="1">
      <c r="A16" s="2"/>
      <c r="B16" s="79"/>
      <c r="C16" s="78"/>
      <c r="D16" s="1"/>
      <c r="G16" s="2"/>
      <c r="H16" s="2"/>
      <c r="I16" s="2"/>
      <c r="J16" s="2"/>
      <c r="K16" s="2"/>
      <c r="L16" s="2"/>
      <c r="M16" s="1"/>
      <c r="N16" s="2"/>
      <c r="O16" s="2"/>
      <c r="P16" s="2"/>
      <c r="Q16" s="2"/>
    </row>
    <row r="17" hidden="1">
      <c r="A17" s="2"/>
      <c r="B17" s="79"/>
      <c r="C17" s="78"/>
      <c r="D17" s="2"/>
      <c r="G17" s="2"/>
      <c r="H17" s="2"/>
      <c r="I17" s="2"/>
      <c r="J17" s="2"/>
      <c r="K17" s="2"/>
      <c r="L17" s="2"/>
      <c r="M17" s="1"/>
      <c r="N17" s="2"/>
      <c r="O17" s="2"/>
      <c r="P17" s="2"/>
      <c r="Q17" s="2"/>
    </row>
    <row r="18" hidden="1">
      <c r="A18" s="2"/>
      <c r="B18" s="79"/>
      <c r="C18" s="78"/>
      <c r="D18" s="2"/>
      <c r="G18" s="2"/>
      <c r="H18" s="2"/>
      <c r="I18" s="2"/>
      <c r="J18" s="2"/>
      <c r="K18" s="2"/>
      <c r="L18" s="2"/>
      <c r="M18" s="1"/>
      <c r="N18" s="2"/>
      <c r="O18" s="2"/>
      <c r="P18" s="2"/>
      <c r="Q18" s="2"/>
    </row>
    <row r="19" hidden="1">
      <c r="A19" s="2"/>
      <c r="B19" s="79"/>
      <c r="C19" s="78"/>
      <c r="D19" s="2"/>
      <c r="G19" s="2"/>
      <c r="H19" s="2"/>
      <c r="I19" s="2"/>
      <c r="J19" s="2"/>
      <c r="K19" s="2"/>
      <c r="L19" s="2"/>
      <c r="M19" s="1"/>
      <c r="N19" s="2"/>
      <c r="O19" s="2"/>
      <c r="P19" s="2"/>
      <c r="Q19" s="2"/>
    </row>
    <row r="20" hidden="1">
      <c r="A20" s="2"/>
      <c r="B20" s="79"/>
      <c r="C20" s="78"/>
      <c r="D20" s="80"/>
      <c r="E20" s="81"/>
      <c r="G20" s="2"/>
      <c r="H20" s="2"/>
      <c r="I20" s="2"/>
      <c r="J20" s="2"/>
      <c r="K20" s="2"/>
      <c r="L20" s="82"/>
      <c r="M20" s="2"/>
      <c r="N20" s="2"/>
      <c r="O20" s="2"/>
      <c r="P20" s="2"/>
      <c r="Q20" s="2"/>
    </row>
    <row r="21" hidden="1">
      <c r="A21" s="2"/>
      <c r="B21" s="79"/>
      <c r="C21" s="83"/>
      <c r="D21" s="80"/>
      <c r="E21" s="81"/>
      <c r="G21" s="2"/>
      <c r="H21" s="2"/>
      <c r="I21" s="2"/>
      <c r="J21" s="2"/>
      <c r="K21" s="2"/>
      <c r="L21" s="82"/>
      <c r="M21" s="2"/>
      <c r="N21" s="2"/>
      <c r="O21" s="2"/>
      <c r="P21" s="2"/>
      <c r="Q21" s="2"/>
    </row>
    <row r="22" hidden="1">
      <c r="A22" s="2"/>
      <c r="B22" s="79"/>
      <c r="C22" s="78"/>
      <c r="D22" s="80"/>
      <c r="E22" s="8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hidden="1">
      <c r="A23" s="2"/>
      <c r="B23" s="2"/>
      <c r="C23" s="2"/>
      <c r="D23" s="84"/>
      <c r="E23" s="8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idden="1">
      <c r="A24" s="2"/>
      <c r="B24" s="2"/>
      <c r="C24" s="2"/>
      <c r="D24" s="84"/>
      <c r="E24" s="8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hidden="1">
      <c r="A25" s="2"/>
      <c r="B25" s="2"/>
      <c r="C25" s="2"/>
      <c r="D25" s="84"/>
      <c r="E25" s="8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idden="1">
      <c r="A26" s="2"/>
      <c r="B26" s="2"/>
      <c r="C26" s="2"/>
      <c r="D26" s="84"/>
      <c r="E26" s="8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hidden="1">
      <c r="A27" s="2"/>
      <c r="B27" s="85"/>
      <c r="C27" s="85"/>
      <c r="D27" s="86"/>
      <c r="E27" s="8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hidden="1">
      <c r="A28" s="2"/>
      <c r="B28" s="85"/>
      <c r="C28" s="85"/>
      <c r="D28" s="87"/>
      <c r="E28" s="8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idden="1">
      <c r="A29" s="2"/>
      <c r="B29" s="85"/>
      <c r="C29" s="85"/>
      <c r="D29" s="8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hidden="1">
      <c r="A30" s="2"/>
      <c r="B30" s="85"/>
      <c r="C30" s="85"/>
      <c r="D30" s="8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idden="1">
      <c r="A31" s="2"/>
      <c r="B31" s="2"/>
      <c r="C31" s="2"/>
      <c r="D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idden="1">
      <c r="A32" s="2"/>
      <c r="B32" s="2"/>
      <c r="C32" s="2"/>
      <c r="D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idden="1">
      <c r="A33" s="2"/>
      <c r="B33" s="2"/>
      <c r="C33" s="2"/>
      <c r="D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hidden="1">
      <c r="A34" s="2"/>
      <c r="B34" s="2"/>
      <c r="C34" s="2"/>
      <c r="D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hidden="1">
      <c r="A35" s="2"/>
      <c r="B35" s="2"/>
      <c r="C35" s="2"/>
      <c r="D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hidden="1">
      <c r="A36" s="2"/>
      <c r="B36" s="2"/>
      <c r="C36" s="2"/>
      <c r="D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hidden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hidden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hidden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hidden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hidden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hidden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hidden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hidden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hidden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hidden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hidden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hidden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hidden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hidden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hidden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hidden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hidden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hidden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hidden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hidden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hidden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hidden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hidden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hidden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hidden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hidden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hidden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hidden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hidden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hidden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hidden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hidden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hidden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hidden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hidden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hidden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hidden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hidden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hidden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hidden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hidden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hidden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hidden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hidden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hidden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hidden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hidden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hidden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hidden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hidden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hidden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hidden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hidden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hidden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hidden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hidden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hidden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hidden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hidden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hidden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hidden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hidden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hidden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hidden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hidden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hidden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hidden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hidden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hidden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hidden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hidden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hidden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hidden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hidden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hidden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hidden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hidden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hidden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hidden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hidden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hidden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hidden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hidden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hidden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hidden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hidden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hidden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hidden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hidden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hidden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hidden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hidden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hidden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hidden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hidden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hidden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hidden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hidden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hidden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hidden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hidden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hidden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hidden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hidden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hidden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hidden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hidden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hidden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hidden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hidden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hidden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hidden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hidden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hidden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hidden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hidden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hidden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hidden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hidden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hidden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hidden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hidden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hidden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hidden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hidden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hidden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hidden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hidden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hidden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hidden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hidden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hidden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hidden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hidden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hidden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hidden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hidden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hidden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hidden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hidden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hidden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hidden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hidden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hidden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hidden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hidden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hidden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hidden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hidden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hidden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hidden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hidden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hidden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hidden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hidden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hidden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hidden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hidden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hidden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hidden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hidden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hidden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hidden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hidden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hidden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hidden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hidden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hidden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hidden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hidden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hidden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hidden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hidden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hidden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hidden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hidden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hidden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hidden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hidden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hidden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hidden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hidden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hidden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hidden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hidden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hidden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hidden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hidden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hidden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hidden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hidden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hidden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hidden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hidden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hidden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hidden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hidden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hidden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hidden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hidden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hidden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hidden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hidden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hidden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hidden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hidden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hidden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hidden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hidden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hidden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hidden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hidden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hidden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hidden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hidden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hidden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hidden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hidden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hidden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hidden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hidden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hidden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hidden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hidden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hidden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hidden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hidden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hidden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hidden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hidden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hidden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hidden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hidden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hidden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hidden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hidden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hidden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hidden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hidden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hidden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hidden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hidden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hidden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hidden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hidden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hidden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hidden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hidden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hidden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hidden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hidden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hidden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hidden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hidden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hidden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hidden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hidden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hidden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hidden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hidden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hidden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hidden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hidden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hidden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hidden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hidden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hidden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hidden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hidden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hidden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hidden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hidden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hidden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hidden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hidden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hidden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hidden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hidden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hidden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hidden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hidden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hidden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hidden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hidden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hidden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hidden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hidden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hidden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hidden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hidden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hidden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hidden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hidden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hidden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hidden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hidden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hidden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hidden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hidden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hidden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hidden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hidden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hidden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hidden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hidden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hidden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hidden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hidden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hidden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hidden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hidden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hidden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hidden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hidden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hidden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hidden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hidden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hidden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hidden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hidden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hidden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hidden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hidden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hidden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hidden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hidden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hidden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hidden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hidden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hidden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hidden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hidden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hidden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hidden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hidden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hidden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hidden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hidden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hidden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hidden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hidden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hidden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hidden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hidden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hidden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hidden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hidden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hidden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hidden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hidden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hidden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hidden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hidden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hidden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hidden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hidden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hidden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hidden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hidden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hidden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hidden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hidden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hidden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hidden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hidden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hidden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hidden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hidden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hidden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hidden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hidden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hidden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hidden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hidden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hidden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hidden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hidden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hidden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hidden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hidden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hidden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hidden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hidden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hidden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hidden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hidden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hidden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hidden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hidden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hidden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hidden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hidden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hidden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hidden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hidden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hidden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hidden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hidden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hidden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hidden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hidden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hidden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hidden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hidden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hidden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hidden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hidden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hidden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hidden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hidden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hidden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hidden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hidden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hidden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hidden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hidden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hidden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hidden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hidden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hidden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hidden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hidden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hidden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hidden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hidden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hidden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hidden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hidden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hidden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hidden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hidden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hidden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hidden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hidden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hidden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hidden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hidden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hidden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hidden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hidden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hidden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hidden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hidden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hidden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hidden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hidden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hidden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hidden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hidden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hidden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hidden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hidden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hidden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hidden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hidden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hidden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hidden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hidden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hidden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hidden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hidden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hidden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hidden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hidden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hidden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hidden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hidden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hidden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hidden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hidden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hidden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hidden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hidden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hidden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hidden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hidden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hidden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hidden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hidden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hidden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hidden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hidden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hidden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hidden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hidden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hidden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hidden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hidden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hidden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hidden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hidden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hidden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hidden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hidden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hidden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hidden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hidden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hidden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hidden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hidden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hidden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hidden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hidden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hidden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hidden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hidden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hidden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hidden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hidden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hidden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hidden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hidden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hidden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hidden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hidden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hidden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hidden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hidden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hidden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hidden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hidden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hidden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hidden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hidden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hidden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hidden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hidden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hidden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hidden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hidden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hidden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hidden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hidden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hidden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hidden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hidden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hidden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hidden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hidden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hidden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hidden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hidden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hidden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hidden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hidden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hidden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hidden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hidden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hidden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hidden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hidden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hidden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hidden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hidden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hidden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hidden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hidden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hidden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hidden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hidden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hidden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hidden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hidden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hidden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hidden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hidden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hidden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hidden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hidden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hidden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hidden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hidden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hidden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hidden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hidden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hidden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hidden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hidden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hidden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hidden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hidden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hidden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hidden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hidden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hidden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hidden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hidden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hidden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hidden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hidden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hidden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hidden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hidden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hidden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hidden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hidden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hidden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hidden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hidden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hidden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hidden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hidden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hidden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hidden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hidden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hidden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hidden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hidden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hidden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hidden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hidden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hidden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hidden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hidden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hidden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hidden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hidden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hidden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hidden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hidden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hidden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hidden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hidden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hidden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hidden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hidden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hidden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hidden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hidden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hidden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hidden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hidden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hidden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hidden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hidden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hidden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hidden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hidden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hidden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hidden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hidden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hidden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hidden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hidden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hidden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hidden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hidden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hidden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hidden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hidden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hidden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hidden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hidden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hidden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hidden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hidden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hidden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hidden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hidden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hidden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hidden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hidden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hidden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hidden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hidden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hidden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hidden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hidden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hidden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hidden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hidden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hidden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hidden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hidden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hidden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hidden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hidden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hidden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hidden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hidden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hidden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hidden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hidden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hidden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hidden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hidden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hidden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hidden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hidden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hidden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hidden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hidden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hidden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hidden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hidden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hidden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hidden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hidden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hidden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hidden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hidden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hidden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hidden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hidden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hidden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hidden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hidden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hidden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hidden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hidden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hidden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hidden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hidden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hidden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hidden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hidden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hidden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hidden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hidden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hidden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hidden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hidden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hidden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hidden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hidden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hidden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hidden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hidden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hidden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hidden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hidden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hidden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hidden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hidden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hidden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hidden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hidden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hidden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hidden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hidden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hidden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hidden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hidden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hidden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hidden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hidden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hidden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hidden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hidden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hidden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hidden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hidden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hidden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hidden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hidden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hidden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hidden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hidden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hidden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hidden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hidden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hidden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hidden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hidden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hidden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hidden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hidden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hidden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hidden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hidden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hidden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hidden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hidden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hidden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hidden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hidden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hidden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hidden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hidden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hidden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hidden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hidden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hidden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hidden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hidden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hidden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hidden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hidden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hidden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hidden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hidden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hidden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hidden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hidden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hidden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hidden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hidden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hidden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hidden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hidden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hidden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hidden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hidden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hidden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hidden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hidden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hidden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hidden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hidden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hidden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hidden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hidden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hidden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hidden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hidden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hidden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hidden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hidden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hidden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hidden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hidden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hidden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hidden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hidden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hidden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hidden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hidden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hidden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hidden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hidden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hidden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hidden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hidden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hidden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hidden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hidden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hidden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hidden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hidden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hidden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hidden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hidden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hidden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hidden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hidden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hidden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hidden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hidden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hidden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hidden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hidden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hidden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hidden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hidden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hidden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hidden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hidden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hidden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hidden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hidden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hidden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hidden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hidden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hidden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hidden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hidden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hidden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hidden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hidden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hidden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hidden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hidden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hidden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hidden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hidden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hidden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hidden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hidden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hidden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hidden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hidden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hidden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hidden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hidden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hidden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hidden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hidden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hidden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hidden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hidden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hidden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hidden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hidden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hidden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hidden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hidden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hidden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hidden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hidden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hidden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hidden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hidden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hidden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hidden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hidden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hidden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hidden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hidden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hidden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hidden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hidden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hidden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hidden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hidden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hidden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hidden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hidden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hidden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hidden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hidden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hidden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hidden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hidden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hidden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hidden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hidden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hidden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hidden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hidden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hidden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hidden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hidden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hidden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hidden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hidden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hidden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hidden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hidden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hidden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hidden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hidden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hidden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hidden="1">
      <c r="A979" s="2"/>
      <c r="B979" s="2"/>
      <c r="C979" s="2"/>
      <c r="D979" s="2"/>
      <c r="E979" s="2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hidden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hidden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hidden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hidden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hidden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hidden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hidden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hidden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hidden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hidden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hidden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hidden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hidden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hidden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hidden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hidden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hidden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hidden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hidden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hidden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hidden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 hidden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</row>
    <row r="1002" hidden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 hidden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 hidden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  <row r="1005" hidden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</row>
    <row r="1006" hidden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</row>
    <row r="1007" hidden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</row>
    <row r="1008" hidden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</row>
    <row r="1009" hidden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</row>
    <row r="1010" hidden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</row>
    <row r="1011" hidden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</row>
  </sheetData>
  <mergeCells count="4">
    <mergeCell ref="A2:Q2"/>
    <mergeCell ref="A3:A5"/>
    <mergeCell ref="H7:N7"/>
    <mergeCell ref="O7:Q7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91.0"/>
    <col customWidth="1" min="2" max="2" width="55.29"/>
  </cols>
  <sheetData>
    <row r="1">
      <c r="A1" s="88" t="s">
        <v>35</v>
      </c>
      <c r="B1" s="88" t="s">
        <v>36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>
      <c r="A2" s="89" t="s">
        <v>37</v>
      </c>
      <c r="B2" s="90" t="s">
        <v>38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>
      <c r="A3" s="89" t="s">
        <v>39</v>
      </c>
      <c r="B3" s="90" t="s">
        <v>40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>
      <c r="A4" s="89" t="s">
        <v>41</v>
      </c>
      <c r="B4" s="90" t="s">
        <v>42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>
      <c r="A5" s="89" t="s">
        <v>43</v>
      </c>
      <c r="B5" s="90" t="s">
        <v>44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>
      <c r="A6" s="89" t="s">
        <v>45</v>
      </c>
      <c r="B6" s="90" t="s">
        <v>46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>
      <c r="A7" s="89" t="s">
        <v>47</v>
      </c>
      <c r="B7" s="90" t="s">
        <v>48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>
      <c r="A8" s="89" t="s">
        <v>49</v>
      </c>
      <c r="B8" s="90" t="s">
        <v>50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>
      <c r="A9" s="89" t="s">
        <v>51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>
      <c r="A10" s="89" t="s">
        <v>52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>
      <c r="A11" s="89" t="s">
        <v>53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>
      <c r="A12" s="89" t="s">
        <v>54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>
      <c r="A13" s="89" t="s">
        <v>55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>
      <c r="A14" s="89" t="s">
        <v>56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>
      <c r="A15" s="89" t="s">
        <v>57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>
      <c r="A16" s="89" t="s">
        <v>58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>
      <c r="A17" s="89" t="s">
        <v>59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>
      <c r="A18" s="89" t="s">
        <v>60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>
      <c r="A19" s="89" t="s">
        <v>61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>
      <c r="A20" s="89" t="s">
        <v>62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>
      <c r="A21" s="89" t="s">
        <v>63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>
      <c r="A22" s="89" t="s">
        <v>64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>
      <c r="A23" s="89" t="s">
        <v>65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ht="6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ht="15.75" customHeight="1">
      <c r="A25" s="91" t="s">
        <v>66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ht="15.75" customHeight="1">
      <c r="A26" s="92" t="s">
        <v>67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ht="15.75" customHeight="1">
      <c r="A27" s="92" t="s">
        <v>68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</row>
  </sheetData>
  <drawing r:id="rId1"/>
</worksheet>
</file>